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Backlog" sheetId="1" state="visible" r:id="rId3"/>
    <sheet name="Domain Summary" sheetId="2" state="visible" r:id="rId4"/>
  </sheets>
  <definedNames>
    <definedName function="false" hidden="true" localSheetId="0" name="_xlnm._FilterDatabase" vbProcedure="false">'Use Case Backlog'!$A$1:$P$102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<sst xmlns="http://schemas.openxmlformats.org/spreadsheetml/2006/main" count="838" uniqueCount="337">
  <si>
    <t xml:space="preserve">#</t>
  </si>
  <si>
    <t xml:space="preserve">Domain</t>
  </si>
  <si>
    <t xml:space="preserve">Use Case Name</t>
  </si>
  <si>
    <t xml:space="preserve">Description</t>
  </si>
  <si>
    <t xml:space="preserve">Play Type</t>
  </si>
  <si>
    <t xml:space="preserve">People (P1)</t>
  </si>
  <si>
    <t xml:space="preserve">Programmability (P2)</t>
  </si>
  <si>
    <t xml:space="preserve">Productivity (P3)</t>
  </si>
  <si>
    <t xml:space="preserve">Precision (P4)</t>
  </si>
  <si>
    <t xml:space="preserve">4-P Score</t>
  </si>
  <si>
    <t xml:space="preserve">Phase</t>
  </si>
  <si>
    <t xml:space="preserve">Priority</t>
  </si>
  <si>
    <t xml:space="preserve">Est. 5-Year Value ($M)</t>
  </si>
  <si>
    <t xml:space="preserve">Data Readiness</t>
  </si>
  <si>
    <t xml:space="preserve">HCL IP / OEM Stack</t>
  </si>
  <si>
    <t xml:space="preserve">RTX System Integration</t>
  </si>
  <si>
    <t xml:space="preserve">Manufacturing &amp; Plant Ops</t>
  </si>
  <si>
    <t xml:space="preserve">GTF blade CV quality inspection</t>
  </si>
  <si>
    <t xml:space="preserve">Computer vision for turbine blade surface defect detection at micron-level tolerances during manufacturing</t>
  </si>
  <si>
    <t xml:space="preserve">Deploy</t>
  </si>
  <si>
    <t xml:space="preserve">Critical</t>
  </si>
  <si>
    <t xml:space="preserve">High</t>
  </si>
  <si>
    <t xml:space="preserve">AI Force + NVIDIA CV</t>
  </si>
  <si>
    <t xml:space="preserve">P&amp;W MES, AVEVA PI</t>
  </si>
  <si>
    <t xml:space="preserve">Missile assembly AI-assisted QC</t>
  </si>
  <si>
    <t xml:space="preserve">Vision-guided inspection of missile component alignment and solder quality during Raytheon assembly</t>
  </si>
  <si>
    <t xml:space="preserve">Medium</t>
  </si>
  <si>
    <t xml:space="preserve">AI Force + NVIDIA Metropolis</t>
  </si>
  <si>
    <t xml:space="preserve">Raytheon MES</t>
  </si>
  <si>
    <t xml:space="preserve">Additive manufacturing quality monitor</t>
  </si>
  <si>
    <t xml:space="preserve">Real-time powder-bed fusion monitoring for aerospace-grade 3D-printed components</t>
  </si>
  <si>
    <t xml:space="preserve">Reshape</t>
  </si>
  <si>
    <t xml:space="preserve">AI Force.Data</t>
  </si>
  <si>
    <t xml:space="preserve">P&amp;W additive mfg</t>
  </si>
  <si>
    <t xml:space="preserve">Predictive maintenance (P&amp;W engine test cells)</t>
  </si>
  <si>
    <t xml:space="preserve">ML-based failure prediction using vibration, thermal, and oil analysis from GTF engine test cells</t>
  </si>
  <si>
    <t xml:space="preserve">AI Force + iMRO/4</t>
  </si>
  <si>
    <t xml:space="preserve">AVEVA PI, P&amp;W test systems</t>
  </si>
  <si>
    <t xml:space="preserve">SmarTwin digital twin (lighthouse factory)</t>
  </si>
  <si>
    <t xml:space="preserve">Physics-informed digital twin of a P&amp;W manufacturing line for production optimisation</t>
  </si>
  <si>
    <t xml:space="preserve">Invent</t>
  </si>
  <si>
    <t xml:space="preserve">Low</t>
  </si>
  <si>
    <t xml:space="preserve">AI Force + NVIDIA Omniverse</t>
  </si>
  <si>
    <t xml:space="preserve">Siemens MES</t>
  </si>
  <si>
    <t xml:space="preserve">Composite layup defect detection</t>
  </si>
  <si>
    <t xml:space="preserve">CV-based inspection of composite layup processes at Collins Aerospace</t>
  </si>
  <si>
    <t xml:space="preserve">Collins MES</t>
  </si>
  <si>
    <t xml:space="preserve">CNC tool wear prediction</t>
  </si>
  <si>
    <t xml:space="preserve">Predict CNC tool replacement timing using vibration and torque sensor data across 500+ facilities</t>
  </si>
  <si>
    <t xml:space="preserve">Rockwell FactoryTalk</t>
  </si>
  <si>
    <t xml:space="preserve">Cleanroom contamination prediction</t>
  </si>
  <si>
    <t xml:space="preserve">Environmental sensor ML model predicting contamination events in semiconductor/optics cleanrooms</t>
  </si>
  <si>
    <t xml:space="preserve">AI Force</t>
  </si>
  <si>
    <t xml:space="preserve">Facility BMS</t>
  </si>
  <si>
    <t xml:space="preserve">Energy consumption optimisation</t>
  </si>
  <si>
    <t xml:space="preserve">AI-driven HVAC and process energy optimisation across manufacturing facilities</t>
  </si>
  <si>
    <t xml:space="preserve">Building BMS, AVEVA PI</t>
  </si>
  <si>
    <t xml:space="preserve">Automated visual inspection (Collins avionics)</t>
  </si>
  <si>
    <t xml:space="preserve">Scale the Santa Isabel factory CV model to 50+ Collins facilities</t>
  </si>
  <si>
    <t xml:space="preserve">Production scheduling AI</t>
  </si>
  <si>
    <t xml:space="preserve">AI-optimised scheduling across multi-product, multi-constraint manufacturing lines</t>
  </si>
  <si>
    <t xml:space="preserve">AI Force Agent Studio</t>
  </si>
  <si>
    <t xml:space="preserve">SAP PP, Siemens MES</t>
  </si>
  <si>
    <t xml:space="preserve">Yield prediction (P&amp;W turbine disks)</t>
  </si>
  <si>
    <t xml:space="preserve">Predict batch yield rates using process parameters and material properties</t>
  </si>
  <si>
    <t xml:space="preserve">AI Force + DataRobot</t>
  </si>
  <si>
    <t xml:space="preserve">P&amp;W MES</t>
  </si>
  <si>
    <t xml:space="preserve">Weld quality real-time monitoring</t>
  </si>
  <si>
    <t xml:space="preserve">Acoustic and thermal sensor fusion for automated weld inspection at Raytheon facilities</t>
  </si>
  <si>
    <t xml:space="preserve">OEE real-time dashboard</t>
  </si>
  <si>
    <t xml:space="preserve">Plant-wide overall equipment effectiveness with AI anomaly detection</t>
  </si>
  <si>
    <t xml:space="preserve">AI Force.Software</t>
  </si>
  <si>
    <t xml:space="preserve">AVEVA PI, MES</t>
  </si>
  <si>
    <t xml:space="preserve">First article inspection automation</t>
  </si>
  <si>
    <t xml:space="preserve">AI-assisted dimensional measurement for first article inspections per AS9102</t>
  </si>
  <si>
    <t xml:space="preserve">PLM, CMM systems</t>
  </si>
  <si>
    <t xml:space="preserve">Paint/coating thickness AI</t>
  </si>
  <si>
    <t xml:space="preserve">Non-destructive testing AI for coating thickness and uniformity on aircraft components</t>
  </si>
  <si>
    <t xml:space="preserve">NDT systems</t>
  </si>
  <si>
    <t xml:space="preserve">Vibration analysis (bearing health)</t>
  </si>
  <si>
    <t xml:space="preserve">Predictive bearing failure detection across rotating equipment fleet</t>
  </si>
  <si>
    <t xml:space="preserve">AVEVA PI</t>
  </si>
  <si>
    <t xml:space="preserve">Material traceability AI</t>
  </si>
  <si>
    <t xml:space="preserve">End-to-end material lot tracking with anomaly detection for contamination events</t>
  </si>
  <si>
    <t xml:space="preserve">AI Force.Data + iSCM</t>
  </si>
  <si>
    <t xml:space="preserve">SAP QM, PLM</t>
  </si>
  <si>
    <t xml:space="preserve">AR-guided assembly instructions</t>
  </si>
  <si>
    <t xml:space="preserve">AR overlay work instructions for complex assembly sequences at P&amp;W and Raytheon</t>
  </si>
  <si>
    <t xml:space="preserve">AI Force + PTC Vuforia</t>
  </si>
  <si>
    <t xml:space="preserve">PLM, MES</t>
  </si>
  <si>
    <t xml:space="preserve">Robotic inspection (confined spaces)</t>
  </si>
  <si>
    <t xml:space="preserve">Autonomous robotic inspection of engine interiors and missile tubes</t>
  </si>
  <si>
    <t xml:space="preserve">Custom robotics</t>
  </si>
  <si>
    <t xml:space="preserve">Process parameter optimisation</t>
  </si>
  <si>
    <t xml:space="preserve">Bayesian optimisation of manufacturing process parameters for optimal quality</t>
  </si>
  <si>
    <t xml:space="preserve">MES, AVEVA PI</t>
  </si>
  <si>
    <t xml:space="preserve">Gauge R&amp;R automation</t>
  </si>
  <si>
    <t xml:space="preserve">AI-assisted gauge repeatability and reproducibility studies for measurement systems</t>
  </si>
  <si>
    <t xml:space="preserve">SPC systems</t>
  </si>
  <si>
    <t xml:space="preserve">Supplier quality incoming inspection</t>
  </si>
  <si>
    <t xml:space="preserve">CV-based incoming material inspection for critical aerospace materials</t>
  </si>
  <si>
    <t xml:space="preserve">SAP QM</t>
  </si>
  <si>
    <t xml:space="preserve">Shift handover intelligence</t>
  </si>
  <si>
    <t xml:space="preserve">NLP-generated shift handover summaries from operator logs, alarms, and production data</t>
  </si>
  <si>
    <t xml:space="preserve">AI Force (LISA)</t>
  </si>
  <si>
    <t xml:space="preserve">Environmental compliance monitor</t>
  </si>
  <si>
    <t xml:space="preserve">Real-time emissions and waste monitoring with regulatory threshold alerting</t>
  </si>
  <si>
    <t xml:space="preserve">EHS systems</t>
  </si>
  <si>
    <t xml:space="preserve">Supply Chain &amp; Logistics</t>
  </si>
  <si>
    <t xml:space="preserve">Guardian supplier risk engine</t>
  </si>
  <si>
    <t xml:space="preserve">Multi-tier supplier risk scoring across 40,000+ suppliers using financial, geopolitical, and delivery data</t>
  </si>
  <si>
    <t xml:space="preserve">iSCM + AI Force</t>
  </si>
  <si>
    <t xml:space="preserve">SAP Ariba, SAP IBP</t>
  </si>
  <si>
    <t xml:space="preserve">ITAR logistics compliance automator</t>
  </si>
  <si>
    <t xml:space="preserve">Automated ITAR classification and documentation for cross-border defence shipments</t>
  </si>
  <si>
    <t xml:space="preserve">AI Force GRC + iSCM</t>
  </si>
  <si>
    <t xml:space="preserve">SAP GTS</t>
  </si>
  <si>
    <t xml:space="preserve">Rare material sourcing intelligence</t>
  </si>
  <si>
    <t xml:space="preserve">Geopolitical risk modelling for titanium, cobalt, and rhenium sourcing alternatives</t>
  </si>
  <si>
    <t xml:space="preserve">iSCM</t>
  </si>
  <si>
    <t xml:space="preserve">SAP MM</t>
  </si>
  <si>
    <t xml:space="preserve">Readiness-as-a-Service</t>
  </si>
  <si>
    <t xml:space="preserve">AI-driven aftermarket parts demand prediction from 1,300+ aircraft tail health data for MRO planning</t>
  </si>
  <si>
    <t xml:space="preserve">iMRO/4 + AI Force</t>
  </si>
  <si>
    <t xml:space="preserve">P&amp;W Ascentia PHM</t>
  </si>
  <si>
    <t xml:space="preserve">Demand forecasting (engine aftermarket)</t>
  </si>
  <si>
    <t xml:space="preserve">ML-based engine shop visit and spare parts demand forecasting</t>
  </si>
  <si>
    <t xml:space="preserve">SAP IBP</t>
  </si>
  <si>
    <t xml:space="preserve">Tariff exposure scenario modelling</t>
  </si>
  <si>
    <t xml:space="preserve">Scenario analysis for $850M tariff exposure across global supply network</t>
  </si>
  <si>
    <t xml:space="preserve">SAP GTS, Ariba</t>
  </si>
  <si>
    <t xml:space="preserve">Multi-tier supply chain visibility</t>
  </si>
  <si>
    <t xml:space="preserve">Real-time sub-tier visibility for critical defence supply chains</t>
  </si>
  <si>
    <t xml:space="preserve">SAP Ariba</t>
  </si>
  <si>
    <t xml:space="preserve">Sole-source supplier mitigation</t>
  </si>
  <si>
    <t xml:space="preserve">Identify and qualify alternative suppliers for sole-source defence components</t>
  </si>
  <si>
    <t xml:space="preserve">SAP SRM</t>
  </si>
  <si>
    <t xml:space="preserve">Warehouse slotting optimisation</t>
  </si>
  <si>
    <t xml:space="preserve">AI-optimised warehouse layout and picking paths across distribution centres</t>
  </si>
  <si>
    <t xml:space="preserve">SAP EWM</t>
  </si>
  <si>
    <t xml:space="preserve">Inbound logistics prediction</t>
  </si>
  <si>
    <t xml:space="preserve">Predict delivery delays from key suppliers using carrier data and external signals</t>
  </si>
  <si>
    <t xml:space="preserve">SAP TM</t>
  </si>
  <si>
    <t xml:space="preserve">Contract manufacturing quality AI</t>
  </si>
  <si>
    <t xml:space="preserve">Monitor and predict quality issues from contract manufacturers using inspection data</t>
  </si>
  <si>
    <t xml:space="preserve">AI Force + iSCM</t>
  </si>
  <si>
    <t xml:space="preserve">Procurement spend analytics</t>
  </si>
  <si>
    <t xml:space="preserve">AI-driven spend classification and savings opportunity identification across $50B+ procurement</t>
  </si>
  <si>
    <t xml:space="preserve">Counterfeit parts detection</t>
  </si>
  <si>
    <t xml:space="preserve">ML-based detection of counterfeit electronic components in defence supply chain</t>
  </si>
  <si>
    <t xml:space="preserve">Transportation route optimisation</t>
  </si>
  <si>
    <t xml:space="preserve">AI-optimised routing for defence logistics with security constraint handling</t>
  </si>
  <si>
    <t xml:space="preserve">Supplier on-time delivery prediction</t>
  </si>
  <si>
    <t xml:space="preserve">Predict supplier delivery performance using historical and external data</t>
  </si>
  <si>
    <t xml:space="preserve">Inventory optimisation (defence spares)</t>
  </si>
  <si>
    <t xml:space="preserve">Multi-echelon inventory optimisation for defence spare parts across global depots</t>
  </si>
  <si>
    <t xml:space="preserve">SAP EWM, IBP</t>
  </si>
  <si>
    <t xml:space="preserve">Customs documentation AI</t>
  </si>
  <si>
    <t xml:space="preserve">NLP-based automated customs documentation generation for international shipments</t>
  </si>
  <si>
    <t xml:space="preserve">Supplier ESG scoring</t>
  </si>
  <si>
    <t xml:space="preserve">Environmental, social, governance risk scoring integrated into supplier selection</t>
  </si>
  <si>
    <t xml:space="preserve">Demand sensing (Collins aftermarket)</t>
  </si>
  <si>
    <t xml:space="preserve">Near-real-time demand sensing for Collins Aerospace aftermarket components</t>
  </si>
  <si>
    <t xml:space="preserve">Supply chain digital twin</t>
  </si>
  <si>
    <t xml:space="preserve">End-to-end supply chain simulation for scenario planning and disruption response</t>
  </si>
  <si>
    <t xml:space="preserve">SAP IBP, Ariba</t>
  </si>
  <si>
    <t xml:space="preserve">Finance &amp; Accounting</t>
  </si>
  <si>
    <t xml:space="preserve">Autonomous close engine</t>
  </si>
  <si>
    <t xml:space="preserve">AI-automated journal entries, reconciliations, and accruals to reduce financial close from 10 to 6 days</t>
  </si>
  <si>
    <t xml:space="preserve">AI Force for SAP</t>
  </si>
  <si>
    <t xml:space="preserve">SAP S/4HANA FI</t>
  </si>
  <si>
    <t xml:space="preserve">AI-powered EVMS reporting</t>
  </si>
  <si>
    <t xml:space="preserve">Automated earned value management system reporting for defence contracts</t>
  </si>
  <si>
    <t xml:space="preserve">AI Force + HANASmart</t>
  </si>
  <si>
    <t xml:space="preserve">SAP PS</t>
  </si>
  <si>
    <t xml:space="preserve">CAS compliance automation</t>
  </si>
  <si>
    <t xml:space="preserve">Continuous Cost Accounting Standards compliance monitoring with automated alerts</t>
  </si>
  <si>
    <t xml:space="preserve">AI Force GRC</t>
  </si>
  <si>
    <t xml:space="preserve">SAP CO</t>
  </si>
  <si>
    <t xml:space="preserve">EAC prediction for defence programs</t>
  </si>
  <si>
    <t xml:space="preserve">ML-based estimate-at-completion prediction for $202B defence backlog</t>
  </si>
  <si>
    <t xml:space="preserve">AI contract pricing (cost-plus)</t>
  </si>
  <si>
    <t xml:space="preserve">AI-augmented cost estimation for cost-plus defence contract bids</t>
  </si>
  <si>
    <t xml:space="preserve">SAP PS, Pricing tools</t>
  </si>
  <si>
    <t xml:space="preserve">AI contract pricing (FFP)</t>
  </si>
  <si>
    <t xml:space="preserve">AI-augmented firm-fixed-price estimation with historical basis-of-estimate analysis</t>
  </si>
  <si>
    <t xml:space="preserve">Intercompany reconciliation AI</t>
  </si>
  <si>
    <t xml:space="preserve">Automated intercompany transaction matching and elimination across 3 segments</t>
  </si>
  <si>
    <t xml:space="preserve">SAP FI-IC</t>
  </si>
  <si>
    <t xml:space="preserve">Cash flow forecasting</t>
  </si>
  <si>
    <t xml:space="preserve">ML-based cash flow prediction with scenario analysis</t>
  </si>
  <si>
    <t xml:space="preserve">SAP TRM</t>
  </si>
  <si>
    <t xml:space="preserve">Accounts payable automation</t>
  </si>
  <si>
    <t xml:space="preserve">Intelligent invoice processing with 3-way matching and exception handling</t>
  </si>
  <si>
    <t xml:space="preserve">SAP AP</t>
  </si>
  <si>
    <t xml:space="preserve">Revenue recognition AI</t>
  </si>
  <si>
    <t xml:space="preserve">Automated ASC 606 revenue recognition for complex multi-element defence arrangements</t>
  </si>
  <si>
    <t xml:space="preserve">SAP RA</t>
  </si>
  <si>
    <t xml:space="preserve">Audit preparation assistant</t>
  </si>
  <si>
    <t xml:space="preserve">NLP-based audit readiness checks and evidence package generation</t>
  </si>
  <si>
    <t xml:space="preserve">SAP GRC</t>
  </si>
  <si>
    <t xml:space="preserve">Tax compliance optimisation</t>
  </si>
  <si>
    <t xml:space="preserve">AI-driven transfer pricing and global tax optimisation across 30+ jurisdictions</t>
  </si>
  <si>
    <t xml:space="preserve">SAP Tax</t>
  </si>
  <si>
    <t xml:space="preserve">Working capital optimisation</t>
  </si>
  <si>
    <t xml:space="preserve">AI-powered working capital improvement through payment term and inventory optimisation</t>
  </si>
  <si>
    <t xml:space="preserve">SAP FI</t>
  </si>
  <si>
    <t xml:space="preserve">Budget variance analysis AI</t>
  </si>
  <si>
    <t xml:space="preserve">Automated variance analysis with root cause identification for defence programs</t>
  </si>
  <si>
    <t xml:space="preserve">Contract profitability dashboard</t>
  </si>
  <si>
    <t xml:space="preserve">Real-time profitability analytics across defence and commercial contract portfolio</t>
  </si>
  <si>
    <t xml:space="preserve">SAP CO-PA</t>
  </si>
  <si>
    <t xml:space="preserve">Fraud detection (procurement)</t>
  </si>
  <si>
    <t xml:space="preserve">ML-based anomaly detection in procurement transactions and expense reports</t>
  </si>
  <si>
    <t xml:space="preserve">SAP MM, Ariba</t>
  </si>
  <si>
    <t xml:space="preserve">Government property accountability AI</t>
  </si>
  <si>
    <t xml:space="preserve">Automated tracking and reporting of government-furnished equipment per FAR 52.245</t>
  </si>
  <si>
    <t xml:space="preserve">SAP AM</t>
  </si>
  <si>
    <t xml:space="preserve">FX exposure hedging AI</t>
  </si>
  <si>
    <t xml:space="preserve">ML-based foreign exchange exposure prediction and hedging recommendation</t>
  </si>
  <si>
    <t xml:space="preserve">Real estate portfolio optimisation</t>
  </si>
  <si>
    <t xml:space="preserve">AI-driven analysis of facility utilisation and lease optimisation across 500+ sites</t>
  </si>
  <si>
    <t xml:space="preserve">SAP RE</t>
  </si>
  <si>
    <t xml:space="preserve">SOX control testing automation</t>
  </si>
  <si>
    <t xml:space="preserve">Automated SOX control testing with continuous monitoring and evidence collection</t>
  </si>
  <si>
    <t xml:space="preserve">Defence Programs</t>
  </si>
  <si>
    <t xml:space="preserve">Defence contract win rate AI</t>
  </si>
  <si>
    <t xml:space="preserve">AI-augmented competitive intelligence and bid strategy for Raytheon defence pursuits</t>
  </si>
  <si>
    <t xml:space="preserve">Custom bid tools</t>
  </si>
  <si>
    <t xml:space="preserve">SIPR-boundary agentic AI</t>
  </si>
  <si>
    <t xml:space="preserve">Secure AI assistance operating within classified network boundaries</t>
  </si>
  <si>
    <t xml:space="preserve">SIPR/JWICS</t>
  </si>
  <si>
    <t xml:space="preserve">EAC intelligence engine</t>
  </si>
  <si>
    <t xml:space="preserve">Automated estimate-at-completion with predictive schedule risk analytics</t>
  </si>
  <si>
    <t xml:space="preserve">Program mgmt tools</t>
  </si>
  <si>
    <t xml:space="preserve">Technical data package AI</t>
  </si>
  <si>
    <t xml:space="preserve">NLP-assisted technical data package generation for defence deliverables</t>
  </si>
  <si>
    <t xml:space="preserve">PLM, Document mgmt</t>
  </si>
  <si>
    <t xml:space="preserve">Program risk heat map</t>
  </si>
  <si>
    <t xml:space="preserve">AI-generated programme risk visualisation with predictive risk scoring</t>
  </si>
  <si>
    <t xml:space="preserve">Subcontractor performance AI</t>
  </si>
  <si>
    <t xml:space="preserve">ML-based subcontractor delivery and quality prediction for defence programs</t>
  </si>
  <si>
    <t xml:space="preserve">Proposal generation assistant</t>
  </si>
  <si>
    <t xml:space="preserve">NLP-assisted defence proposal writing with compliance checking against RFP requirements</t>
  </si>
  <si>
    <t xml:space="preserve">IT Operations &amp; Cyber</t>
  </si>
  <si>
    <t xml:space="preserve">Sovereign helpdesk agent</t>
  </si>
  <si>
    <t xml:space="preserve">AI-powered L1/L2 ticket resolution with ITAR-aware knowledge base, targeting 60% deflection</t>
  </si>
  <si>
    <t xml:space="preserve">AI Force.Ops</t>
  </si>
  <si>
    <t xml:space="preserve">ServiceNow</t>
  </si>
  <si>
    <t xml:space="preserve">SAP migration accelerator</t>
  </si>
  <si>
    <t xml:space="preserve">AI-assisted SAP ECC to S/4HANA migration planning, code analysis, and testing</t>
  </si>
  <si>
    <t xml:space="preserve">HANASmart + Base90</t>
  </si>
  <si>
    <t xml:space="preserve">SAP ECC</t>
  </si>
  <si>
    <t xml:space="preserve">App rationalisation AI</t>
  </si>
  <si>
    <t xml:space="preserve">AI-scored assessment of 500+ applications for retirement, migration, or integration</t>
  </si>
  <si>
    <t xml:space="preserve">AI Force + Prizm</t>
  </si>
  <si>
    <t xml:space="preserve">ServiceNow CMDB</t>
  </si>
  <si>
    <t xml:space="preserve">Nation-state threat detection</t>
  </si>
  <si>
    <t xml:space="preserve">AI-powered advanced persistent threat detection across classified and unclassified networks</t>
  </si>
  <si>
    <t xml:space="preserve">AI Force GRC + CrowdStrike</t>
  </si>
  <si>
    <t xml:space="preserve">SIEM/SOAR</t>
  </si>
  <si>
    <t xml:space="preserve">Automated incident response</t>
  </si>
  <si>
    <t xml:space="preserve">AI-orchestrated incident response playbooks for common IT and OT security events</t>
  </si>
  <si>
    <t xml:space="preserve">ServiceNow, SOAR</t>
  </si>
  <si>
    <t xml:space="preserve">Cloud cost optimisation</t>
  </si>
  <si>
    <t xml:space="preserve">AI-driven cloud resource right-sizing and cost optimisation across Azure Gov and AWS GovCloud</t>
  </si>
  <si>
    <t xml:space="preserve">Azure, AWS</t>
  </si>
  <si>
    <t xml:space="preserve">Change impact prediction</t>
  </si>
  <si>
    <t xml:space="preserve">ML-based prediction of change request impact on production systems</t>
  </si>
  <si>
    <t xml:space="preserve">Vulnerability prioritisation</t>
  </si>
  <si>
    <t xml:space="preserve">AI-ranked vulnerability remediation based on exploitability and asset criticality</t>
  </si>
  <si>
    <t xml:space="preserve">CrowdStrike, Palo Alto</t>
  </si>
  <si>
    <t xml:space="preserve">API gateway intelligence</t>
  </si>
  <si>
    <t xml:space="preserve">AI-monitored API performance, anomaly detection, and auto-scaling</t>
  </si>
  <si>
    <t xml:space="preserve">MuleSoft, SAP BTP</t>
  </si>
  <si>
    <t xml:space="preserve">Legacy code documentation</t>
  </si>
  <si>
    <t xml:space="preserve">AI-generated documentation for 600+ custom programs before migration</t>
  </si>
  <si>
    <t xml:space="preserve">AI Force (AI Force Specs)</t>
  </si>
  <si>
    <t xml:space="preserve">SAP ABAP, custom code</t>
  </si>
  <si>
    <t xml:space="preserve">Database performance AI</t>
  </si>
  <si>
    <t xml:space="preserve">Predictive database performance tuning and capacity planning</t>
  </si>
  <si>
    <t xml:space="preserve">SAP HANA, Oracle</t>
  </si>
  <si>
    <t xml:space="preserve">Zero-trust policy engine</t>
  </si>
  <si>
    <t xml:space="preserve">AI-assisted zero-trust network access policy generation and enforcement</t>
  </si>
  <si>
    <t xml:space="preserve">AI Force GRC + Palo Alto</t>
  </si>
  <si>
    <t xml:space="preserve">SailPoint</t>
  </si>
  <si>
    <t xml:space="preserve">IT asset lifecycle prediction</t>
  </si>
  <si>
    <t xml:space="preserve">Predict end-of-life and refresh timing for IT assets across 500+ facilities</t>
  </si>
  <si>
    <t xml:space="preserve">HR &amp; Safety</t>
  </si>
  <si>
    <t xml:space="preserve">Clearance pipeline optimiser</t>
  </si>
  <si>
    <t xml:space="preserve">AI-optimised security clearance application routing and bottleneck prediction for 50,000+ cleared roles</t>
  </si>
  <si>
    <t xml:space="preserve">Workday HR</t>
  </si>
  <si>
    <t xml:space="preserve">Engineering talent retention prediction</t>
  </si>
  <si>
    <t xml:space="preserve">ML-based attrition risk scoring for critical engineering roles with intervention recommendations</t>
  </si>
  <si>
    <t xml:space="preserve">Workforce planning AI (programme ramp)</t>
  </si>
  <si>
    <t xml:space="preserve">AI-driven workforce planning aligned to defence programme ramp-up schedules</t>
  </si>
  <si>
    <t xml:space="preserve">Workday HR, SAP PS</t>
  </si>
  <si>
    <t xml:space="preserve">ITAR compliance auditor (personnel)</t>
  </si>
  <si>
    <t xml:space="preserve">Automated verification of ITAR-eligible personnel access across all defence data systems</t>
  </si>
  <si>
    <t xml:space="preserve">SailPoint, Workday</t>
  </si>
  <si>
    <t xml:space="preserve">Safety incident predictor</t>
  </si>
  <si>
    <t xml:space="preserve">ML-based prediction of workplace safety incidents using near-miss data and environmental conditions</t>
  </si>
  <si>
    <t xml:space="preserve">Post-merger cultural analytics</t>
  </si>
  <si>
    <t xml:space="preserve">NLP-based employee sentiment analysis across 3 legacy company cultures</t>
  </si>
  <si>
    <t xml:space="preserve">Workday, surveys</t>
  </si>
  <si>
    <t xml:space="preserve">Skills gap mapping (AI readiness)</t>
  </si>
  <si>
    <t xml:space="preserve">Map current workforce skills against future AI-enabled operating model requirements</t>
  </si>
  <si>
    <t xml:space="preserve">Workday Learning</t>
  </si>
  <si>
    <t xml:space="preserve">Interview scheduling optimiser</t>
  </si>
  <si>
    <t xml:space="preserve">AI-optimised interview scheduling for high-volume cleared hiring</t>
  </si>
  <si>
    <t xml:space="preserve">Workday Recruiting</t>
  </si>
  <si>
    <t xml:space="preserve">PPE compliance monitoring</t>
  </si>
  <si>
    <t xml:space="preserve">CV-based real-time PPE compliance detection on manufacturing floors</t>
  </si>
  <si>
    <t xml:space="preserve">Fatigue and wellness monitoring</t>
  </si>
  <si>
    <t xml:space="preserve">Wearable-based operator fatigue detection for safety-critical manufacturing roles</t>
  </si>
  <si>
    <t xml:space="preserve">Wearable sensors</t>
  </si>
  <si>
    <t xml:space="preserve">Training effectiveness analytics</t>
  </si>
  <si>
    <t xml:space="preserve">ML-based analysis of training programme effectiveness correlated with on-job performance</t>
  </si>
  <si>
    <t xml:space="preserve">Contractor compliance tracker</t>
  </si>
  <si>
    <t xml:space="preserve">Automated contractor credential, certification, and access compliance monitoring for 60,000+ contractors</t>
  </si>
  <si>
    <t xml:space="preserve">Workday, ServiceNow</t>
  </si>
  <si>
    <t xml:space="preserve">Succession planning AI</t>
  </si>
  <si>
    <t xml:space="preserve">AI-identified succession candidates for critical leadership and technical specialist roles</t>
  </si>
  <si>
    <t xml:space="preserve">Employee self-service AI assistant</t>
  </si>
  <si>
    <t xml:space="preserve">Conversational AI for HR policy queries, benefits navigation, and payroll questions</t>
  </si>
  <si>
    <t xml:space="preserve">Ergonomic risk assessment AI</t>
  </si>
  <si>
    <t xml:space="preserve">CV-based posture and ergonomic risk assessment for repetitive manufacturing tasks</t>
  </si>
  <si>
    <t xml:space="preserve">Return-to-work optimiser</t>
  </si>
  <si>
    <t xml:space="preserve">AI-optimised return-to-work programmes for injured workers based on role requirements</t>
  </si>
  <si>
    <t xml:space="preserve">Workday HR, EHS</t>
  </si>
  <si>
    <t xml:space="preserve">Use Cases</t>
  </si>
  <si>
    <t xml:space="preserve">Deploy Count</t>
  </si>
  <si>
    <t xml:space="preserve">Reshape Count</t>
  </si>
  <si>
    <t xml:space="preserve">Invent Count</t>
  </si>
  <si>
    <t xml:space="preserve">Avg 4-P Score</t>
  </si>
  <si>
    <t xml:space="preserve">Total 5-yr Value ($M)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</si>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</sst>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28"/>
    <col collapsed="false" customWidth="true" hidden="false" outlineLevel="0" max="16" min="16" style="0" width="2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 t="s">
        <v>16</v>
      </c>
      <c r="C2" s="3" t="s">
        <v>17</v>
      </c>
      <c r="D2" s="3" t="s">
        <v>18</v>
      </c>
      <c r="E2" s="2" t="s">
        <v>19</v>
      </c>
      <c r="F2" s="2" t="n">
        <v>9</v>
      </c>
      <c r="G2" s="2" t="n">
        <v>9</v>
      </c>
      <c r="H2" s="2" t="n">
        <v>8</v>
      </c>
      <c r="I2" s="2" t="n">
        <v>10</v>
      </c>
      <c r="J2" s="2" t="n">
        <f aca="false">F2*G2*H2*I2</f>
        <v>6480</v>
      </c>
      <c r="K2" s="2" t="s">
        <v>20</v>
      </c>
      <c r="L2" s="2" t="n">
        <v>45</v>
      </c>
      <c r="M2" s="2" t="s">
        <v>21</v>
      </c>
      <c r="N2" s="2" t="s">
        <v>22</v>
      </c>
      <c r="O2" s="3" t="s">
        <v>23</v>
      </c>
      <c r="P2" s="3"/>
    </row>
    <row r="3" customFormat="false" ht="35.05" hidden="false" customHeight="false" outlineLevel="0" collapsed="false">
      <c r="A3" s="4" t="n">
        <v>2</v>
      </c>
      <c r="B3" s="4" t="s">
        <v>16</v>
      </c>
      <c r="C3" s="5" t="s">
        <v>24</v>
      </c>
      <c r="D3" s="5" t="s">
        <v>25</v>
      </c>
      <c r="E3" s="4" t="s">
        <v>19</v>
      </c>
      <c r="F3" s="4" t="n">
        <v>8</v>
      </c>
      <c r="G3" s="4" t="n">
        <v>8</v>
      </c>
      <c r="H3" s="4" t="n">
        <v>9</v>
      </c>
      <c r="I3" s="4" t="n">
        <v>9</v>
      </c>
      <c r="J3" s="4" t="n">
        <f aca="false">F3*G3*H3*I3</f>
        <v>5184</v>
      </c>
      <c r="K3" s="4" t="s">
        <v>20</v>
      </c>
      <c r="L3" s="4" t="n">
        <v>35</v>
      </c>
      <c r="M3" s="4" t="s">
        <v>26</v>
      </c>
      <c r="N3" s="4" t="s">
        <v>27</v>
      </c>
      <c r="O3" s="5" t="s">
        <v>28</v>
      </c>
      <c r="P3" s="5"/>
    </row>
    <row r="4" customFormat="false" ht="23.85" hidden="false" customHeight="false" outlineLevel="0" collapsed="false">
      <c r="A4" s="2" t="n">
        <v>3</v>
      </c>
      <c r="B4" s="2" t="s">
        <v>16</v>
      </c>
      <c r="C4" s="3" t="s">
        <v>29</v>
      </c>
      <c r="D4" s="3" t="s">
        <v>30</v>
      </c>
      <c r="E4" s="2" t="s">
        <v>31</v>
      </c>
      <c r="F4" s="2" t="n">
        <v>7</v>
      </c>
      <c r="G4" s="2" t="n">
        <v>7</v>
      </c>
      <c r="H4" s="2" t="n">
        <v>8</v>
      </c>
      <c r="I4" s="2" t="n">
        <v>9</v>
      </c>
      <c r="J4" s="2" t="n">
        <f aca="false">F4*G4*H4*I4</f>
        <v>3528</v>
      </c>
      <c r="K4" s="2" t="s">
        <v>21</v>
      </c>
      <c r="L4" s="2" t="n">
        <v>20</v>
      </c>
      <c r="M4" s="2" t="s">
        <v>26</v>
      </c>
      <c r="N4" s="2" t="s">
        <v>32</v>
      </c>
      <c r="O4" s="3" t="s">
        <v>33</v>
      </c>
      <c r="P4" s="3"/>
    </row>
    <row r="5" customFormat="false" ht="23.85" hidden="false" customHeight="false" outlineLevel="0" collapsed="false">
      <c r="A5" s="4" t="n">
        <v>4</v>
      </c>
      <c r="B5" s="4" t="s">
        <v>16</v>
      </c>
      <c r="C5" s="5" t="s">
        <v>34</v>
      </c>
      <c r="D5" s="5" t="s">
        <v>35</v>
      </c>
      <c r="E5" s="4" t="s">
        <v>19</v>
      </c>
      <c r="F5" s="4" t="n">
        <v>9</v>
      </c>
      <c r="G5" s="4" t="n">
        <v>8</v>
      </c>
      <c r="H5" s="4" t="n">
        <v>9</v>
      </c>
      <c r="I5" s="4" t="n">
        <v>8</v>
      </c>
      <c r="J5" s="4" t="n">
        <f aca="false">F5*G5*H5*I5</f>
        <v>5184</v>
      </c>
      <c r="K5" s="4" t="s">
        <v>20</v>
      </c>
      <c r="L5" s="4" t="n">
        <v>40</v>
      </c>
      <c r="M5" s="4" t="s">
        <v>21</v>
      </c>
      <c r="N5" s="4" t="s">
        <v>36</v>
      </c>
      <c r="O5" s="5" t="s">
        <v>37</v>
      </c>
      <c r="P5" s="5"/>
    </row>
    <row r="6" customFormat="false" ht="35.05" hidden="false" customHeight="false" outlineLevel="0" collapsed="false">
      <c r="A6" s="2" t="n">
        <v>5</v>
      </c>
      <c r="B6" s="2" t="s">
        <v>16</v>
      </c>
      <c r="C6" s="3" t="s">
        <v>38</v>
      </c>
      <c r="D6" s="3" t="s">
        <v>39</v>
      </c>
      <c r="E6" s="2" t="s">
        <v>40</v>
      </c>
      <c r="F6" s="2" t="n">
        <v>8</v>
      </c>
      <c r="G6" s="2" t="n">
        <v>6</v>
      </c>
      <c r="H6" s="2" t="n">
        <v>7</v>
      </c>
      <c r="I6" s="2" t="n">
        <v>8</v>
      </c>
      <c r="J6" s="2" t="n">
        <f aca="false">F6*G6*H6*I6</f>
        <v>2688</v>
      </c>
      <c r="K6" s="2" t="s">
        <v>21</v>
      </c>
      <c r="L6" s="2" t="n">
        <v>30</v>
      </c>
      <c r="M6" s="2" t="s">
        <v>41</v>
      </c>
      <c r="N6" s="2" t="s">
        <v>42</v>
      </c>
      <c r="O6" s="3" t="s">
        <v>43</v>
      </c>
      <c r="P6" s="3"/>
    </row>
    <row r="7" customFormat="false" ht="23.85" hidden="false" customHeight="false" outlineLevel="0" collapsed="false">
      <c r="A7" s="4" t="n">
        <v>6</v>
      </c>
      <c r="B7" s="4" t="s">
        <v>16</v>
      </c>
      <c r="C7" s="5" t="s">
        <v>44</v>
      </c>
      <c r="D7" s="5" t="s">
        <v>45</v>
      </c>
      <c r="E7" s="4" t="s">
        <v>19</v>
      </c>
      <c r="F7" s="4" t="n">
        <v>7</v>
      </c>
      <c r="G7" s="4" t="n">
        <v>8</v>
      </c>
      <c r="H7" s="4" t="n">
        <v>8</v>
      </c>
      <c r="I7" s="4" t="n">
        <v>9</v>
      </c>
      <c r="J7" s="4" t="n">
        <f aca="false">F7*G7*H7*I7</f>
        <v>4032</v>
      </c>
      <c r="K7" s="4" t="s">
        <v>21</v>
      </c>
      <c r="L7" s="4" t="n">
        <v>18</v>
      </c>
      <c r="M7" s="4" t="s">
        <v>26</v>
      </c>
      <c r="N7" s="4" t="s">
        <v>22</v>
      </c>
      <c r="O7" s="5" t="s">
        <v>46</v>
      </c>
      <c r="P7" s="5"/>
    </row>
    <row r="8" customFormat="false" ht="23.85" hidden="false" customHeight="false" outlineLevel="0" collapsed="false">
      <c r="A8" s="2" t="n">
        <v>7</v>
      </c>
      <c r="B8" s="2" t="s">
        <v>16</v>
      </c>
      <c r="C8" s="3" t="s">
        <v>47</v>
      </c>
      <c r="D8" s="3" t="s">
        <v>48</v>
      </c>
      <c r="E8" s="2" t="s">
        <v>19</v>
      </c>
      <c r="F8" s="2" t="n">
        <v>8</v>
      </c>
      <c r="G8" s="2" t="n">
        <v>9</v>
      </c>
      <c r="H8" s="2" t="n">
        <v>8</v>
      </c>
      <c r="I8" s="2" t="n">
        <v>7</v>
      </c>
      <c r="J8" s="2" t="n">
        <f aca="false">F8*G8*H8*I8</f>
        <v>4032</v>
      </c>
      <c r="K8" s="2" t="s">
        <v>26</v>
      </c>
      <c r="L8" s="2" t="n">
        <v>15</v>
      </c>
      <c r="M8" s="2" t="s">
        <v>21</v>
      </c>
      <c r="N8" s="2" t="s">
        <v>32</v>
      </c>
      <c r="O8" s="3" t="s">
        <v>49</v>
      </c>
      <c r="P8" s="3"/>
    </row>
    <row r="9" customFormat="false" ht="35.05" hidden="false" customHeight="false" outlineLevel="0" collapsed="false">
      <c r="A9" s="4" t="n">
        <v>8</v>
      </c>
      <c r="B9" s="4" t="s">
        <v>16</v>
      </c>
      <c r="C9" s="5" t="s">
        <v>50</v>
      </c>
      <c r="D9" s="5" t="s">
        <v>51</v>
      </c>
      <c r="E9" s="4" t="s">
        <v>31</v>
      </c>
      <c r="F9" s="4" t="n">
        <v>6</v>
      </c>
      <c r="G9" s="4" t="n">
        <v>7</v>
      </c>
      <c r="H9" s="4" t="n">
        <v>8</v>
      </c>
      <c r="I9" s="4" t="n">
        <v>8</v>
      </c>
      <c r="J9" s="4" t="n">
        <f aca="false">F9*G9*H9*I9</f>
        <v>2688</v>
      </c>
      <c r="K9" s="4" t="s">
        <v>26</v>
      </c>
      <c r="L9" s="4" t="n">
        <v>12</v>
      </c>
      <c r="M9" s="4" t="s">
        <v>26</v>
      </c>
      <c r="N9" s="4" t="s">
        <v>52</v>
      </c>
      <c r="O9" s="5" t="s">
        <v>53</v>
      </c>
      <c r="P9" s="5"/>
    </row>
    <row r="10" customFormat="false" ht="23.85" hidden="false" customHeight="false" outlineLevel="0" collapsed="false">
      <c r="A10" s="2" t="n">
        <v>9</v>
      </c>
      <c r="B10" s="2" t="s">
        <v>16</v>
      </c>
      <c r="C10" s="3" t="s">
        <v>54</v>
      </c>
      <c r="D10" s="3" t="s">
        <v>55</v>
      </c>
      <c r="E10" s="2" t="s">
        <v>19</v>
      </c>
      <c r="F10" s="2" t="n">
        <v>9</v>
      </c>
      <c r="G10" s="2" t="n">
        <v>8</v>
      </c>
      <c r="H10" s="2" t="n">
        <v>7</v>
      </c>
      <c r="I10" s="2" t="n">
        <v>6</v>
      </c>
      <c r="J10" s="2" t="n">
        <f aca="false">F10*G10*H10*I10</f>
        <v>3024</v>
      </c>
      <c r="K10" s="2" t="s">
        <v>26</v>
      </c>
      <c r="L10" s="2" t="n">
        <v>25</v>
      </c>
      <c r="M10" s="2" t="s">
        <v>21</v>
      </c>
      <c r="N10" s="2" t="s">
        <v>32</v>
      </c>
      <c r="O10" s="3" t="s">
        <v>56</v>
      </c>
      <c r="P10" s="3"/>
    </row>
    <row r="11" customFormat="false" ht="23.85" hidden="false" customHeight="false" outlineLevel="0" collapsed="false">
      <c r="A11" s="4" t="n">
        <v>10</v>
      </c>
      <c r="B11" s="4" t="s">
        <v>16</v>
      </c>
      <c r="C11" s="5" t="s">
        <v>57</v>
      </c>
      <c r="D11" s="5" t="s">
        <v>58</v>
      </c>
      <c r="E11" s="4" t="s">
        <v>19</v>
      </c>
      <c r="F11" s="4" t="n">
        <v>8</v>
      </c>
      <c r="G11" s="4" t="n">
        <v>9</v>
      </c>
      <c r="H11" s="4" t="n">
        <v>8</v>
      </c>
      <c r="I11" s="4" t="n">
        <v>8</v>
      </c>
      <c r="J11" s="4" t="n">
        <f aca="false">F11*G11*H11*I11</f>
        <v>4608</v>
      </c>
      <c r="K11" s="4" t="s">
        <v>20</v>
      </c>
      <c r="L11" s="4" t="n">
        <v>35</v>
      </c>
      <c r="M11" s="4" t="s">
        <v>21</v>
      </c>
      <c r="N11" s="4" t="s">
        <v>22</v>
      </c>
      <c r="O11" s="5" t="s">
        <v>46</v>
      </c>
      <c r="P11" s="5"/>
    </row>
    <row r="12" customFormat="false" ht="23.85" hidden="false" customHeight="false" outlineLevel="0" collapsed="false">
      <c r="A12" s="2" t="n">
        <v>11</v>
      </c>
      <c r="B12" s="2" t="s">
        <v>16</v>
      </c>
      <c r="C12" s="3" t="s">
        <v>59</v>
      </c>
      <c r="D12" s="3" t="s">
        <v>60</v>
      </c>
      <c r="E12" s="2" t="s">
        <v>31</v>
      </c>
      <c r="F12" s="2" t="n">
        <v>9</v>
      </c>
      <c r="G12" s="2" t="n">
        <v>7</v>
      </c>
      <c r="H12" s="2" t="n">
        <v>8</v>
      </c>
      <c r="I12" s="2" t="n">
        <v>7</v>
      </c>
      <c r="J12" s="2" t="n">
        <f aca="false">F12*G12*H12*I12</f>
        <v>3528</v>
      </c>
      <c r="K12" s="2" t="s">
        <v>21</v>
      </c>
      <c r="L12" s="2" t="n">
        <v>22</v>
      </c>
      <c r="M12" s="2" t="s">
        <v>26</v>
      </c>
      <c r="N12" s="2" t="s">
        <v>61</v>
      </c>
      <c r="O12" s="3" t="s">
        <v>62</v>
      </c>
      <c r="P12" s="3"/>
    </row>
    <row r="13" customFormat="false" ht="23.85" hidden="false" customHeight="false" outlineLevel="0" collapsed="false">
      <c r="A13" s="4" t="n">
        <v>12</v>
      </c>
      <c r="B13" s="4" t="s">
        <v>16</v>
      </c>
      <c r="C13" s="5" t="s">
        <v>63</v>
      </c>
      <c r="D13" s="5" t="s">
        <v>64</v>
      </c>
      <c r="E13" s="4" t="s">
        <v>19</v>
      </c>
      <c r="F13" s="4" t="n">
        <v>7</v>
      </c>
      <c r="G13" s="4" t="n">
        <v>8</v>
      </c>
      <c r="H13" s="4" t="n">
        <v>8</v>
      </c>
      <c r="I13" s="4" t="n">
        <v>9</v>
      </c>
      <c r="J13" s="4" t="n">
        <f aca="false">F13*G13*H13*I13</f>
        <v>4032</v>
      </c>
      <c r="K13" s="4" t="s">
        <v>21</v>
      </c>
      <c r="L13" s="4" t="n">
        <v>28</v>
      </c>
      <c r="M13" s="4" t="s">
        <v>26</v>
      </c>
      <c r="N13" s="4" t="s">
        <v>65</v>
      </c>
      <c r="O13" s="5" t="s">
        <v>66</v>
      </c>
      <c r="P13" s="5"/>
    </row>
    <row r="14" customFormat="false" ht="23.85" hidden="false" customHeight="false" outlineLevel="0" collapsed="false">
      <c r="A14" s="2" t="n">
        <v>13</v>
      </c>
      <c r="B14" s="2" t="s">
        <v>16</v>
      </c>
      <c r="C14" s="3" t="s">
        <v>67</v>
      </c>
      <c r="D14" s="3" t="s">
        <v>68</v>
      </c>
      <c r="E14" s="2" t="s">
        <v>19</v>
      </c>
      <c r="F14" s="2" t="n">
        <v>7</v>
      </c>
      <c r="G14" s="2" t="n">
        <v>8</v>
      </c>
      <c r="H14" s="2" t="n">
        <v>8</v>
      </c>
      <c r="I14" s="2" t="n">
        <v>8</v>
      </c>
      <c r="J14" s="2" t="n">
        <f aca="false">F14*G14*H14*I14</f>
        <v>3584</v>
      </c>
      <c r="K14" s="2" t="s">
        <v>26</v>
      </c>
      <c r="L14" s="2" t="n">
        <v>14</v>
      </c>
      <c r="M14" s="2" t="s">
        <v>26</v>
      </c>
      <c r="N14" s="2" t="s">
        <v>22</v>
      </c>
      <c r="O14" s="3" t="s">
        <v>28</v>
      </c>
      <c r="P14" s="3"/>
    </row>
    <row r="15" customFormat="false" ht="35.05" hidden="false" customHeight="false" outlineLevel="0" collapsed="false">
      <c r="A15" s="4" t="n">
        <v>14</v>
      </c>
      <c r="B15" s="4" t="s">
        <v>16</v>
      </c>
      <c r="C15" s="5" t="s">
        <v>69</v>
      </c>
      <c r="D15" s="5" t="s">
        <v>70</v>
      </c>
      <c r="E15" s="4" t="s">
        <v>19</v>
      </c>
      <c r="F15" s="4" t="n">
        <v>9</v>
      </c>
      <c r="G15" s="4" t="n">
        <v>9</v>
      </c>
      <c r="H15" s="4" t="n">
        <v>7</v>
      </c>
      <c r="I15" s="4" t="n">
        <v>6</v>
      </c>
      <c r="J15" s="4" t="n">
        <f aca="false">F15*G15*H15*I15</f>
        <v>3402</v>
      </c>
      <c r="K15" s="4" t="s">
        <v>26</v>
      </c>
      <c r="L15" s="4" t="n">
        <v>10</v>
      </c>
      <c r="M15" s="4" t="s">
        <v>21</v>
      </c>
      <c r="N15" s="4" t="s">
        <v>71</v>
      </c>
      <c r="O15" s="5" t="s">
        <v>72</v>
      </c>
      <c r="P15" s="5"/>
    </row>
    <row r="16" customFormat="false" ht="23.85" hidden="false" customHeight="false" outlineLevel="0" collapsed="false">
      <c r="A16" s="2" t="n">
        <v>15</v>
      </c>
      <c r="B16" s="2" t="s">
        <v>16</v>
      </c>
      <c r="C16" s="3" t="s">
        <v>73</v>
      </c>
      <c r="D16" s="3" t="s">
        <v>74</v>
      </c>
      <c r="E16" s="2" t="s">
        <v>19</v>
      </c>
      <c r="F16" s="2" t="n">
        <v>6</v>
      </c>
      <c r="G16" s="2" t="n">
        <v>8</v>
      </c>
      <c r="H16" s="2" t="n">
        <v>8</v>
      </c>
      <c r="I16" s="2" t="n">
        <v>9</v>
      </c>
      <c r="J16" s="2" t="n">
        <f aca="false">F16*G16*H16*I16</f>
        <v>3456</v>
      </c>
      <c r="K16" s="2" t="s">
        <v>26</v>
      </c>
      <c r="L16" s="2" t="n">
        <v>8</v>
      </c>
      <c r="M16" s="2" t="s">
        <v>26</v>
      </c>
      <c r="N16" s="2" t="s">
        <v>22</v>
      </c>
      <c r="O16" s="3" t="s">
        <v>75</v>
      </c>
      <c r="P16" s="3"/>
    </row>
    <row r="17" customFormat="false" ht="23.85" hidden="false" customHeight="false" outlineLevel="0" collapsed="false">
      <c r="A17" s="4" t="n">
        <v>16</v>
      </c>
      <c r="B17" s="4" t="s">
        <v>16</v>
      </c>
      <c r="C17" s="5" t="s">
        <v>76</v>
      </c>
      <c r="D17" s="5" t="s">
        <v>77</v>
      </c>
      <c r="E17" s="4" t="s">
        <v>19</v>
      </c>
      <c r="F17" s="4" t="n">
        <v>6</v>
      </c>
      <c r="G17" s="4" t="n">
        <v>7</v>
      </c>
      <c r="H17" s="4" t="n">
        <v>8</v>
      </c>
      <c r="I17" s="4" t="n">
        <v>8</v>
      </c>
      <c r="J17" s="4" t="n">
        <f aca="false">F17*G17*H17*I17</f>
        <v>2688</v>
      </c>
      <c r="K17" s="4" t="s">
        <v>41</v>
      </c>
      <c r="L17" s="4" t="n">
        <v>6</v>
      </c>
      <c r="M17" s="4" t="s">
        <v>41</v>
      </c>
      <c r="N17" s="4" t="s">
        <v>52</v>
      </c>
      <c r="O17" s="5" t="s">
        <v>78</v>
      </c>
      <c r="P17" s="5"/>
    </row>
    <row r="18" customFormat="false" ht="23.85" hidden="false" customHeight="false" outlineLevel="0" collapsed="false">
      <c r="A18" s="2" t="n">
        <v>17</v>
      </c>
      <c r="B18" s="2" t="s">
        <v>16</v>
      </c>
      <c r="C18" s="3" t="s">
        <v>79</v>
      </c>
      <c r="D18" s="3" t="s">
        <v>80</v>
      </c>
      <c r="E18" s="2" t="s">
        <v>19</v>
      </c>
      <c r="F18" s="2" t="n">
        <v>8</v>
      </c>
      <c r="G18" s="2" t="n">
        <v>9</v>
      </c>
      <c r="H18" s="2" t="n">
        <v>7</v>
      </c>
      <c r="I18" s="2" t="n">
        <v>7</v>
      </c>
      <c r="J18" s="2" t="n">
        <f aca="false">F18*G18*H18*I18</f>
        <v>3528</v>
      </c>
      <c r="K18" s="2" t="s">
        <v>26</v>
      </c>
      <c r="L18" s="2" t="n">
        <v>12</v>
      </c>
      <c r="M18" s="2" t="s">
        <v>21</v>
      </c>
      <c r="N18" s="2" t="s">
        <v>36</v>
      </c>
      <c r="O18" s="3" t="s">
        <v>81</v>
      </c>
      <c r="P18" s="3"/>
    </row>
    <row r="19" customFormat="false" ht="23.85" hidden="false" customHeight="false" outlineLevel="0" collapsed="false">
      <c r="A19" s="4" t="n">
        <v>18</v>
      </c>
      <c r="B19" s="4" t="s">
        <v>16</v>
      </c>
      <c r="C19" s="5" t="s">
        <v>82</v>
      </c>
      <c r="D19" s="5" t="s">
        <v>83</v>
      </c>
      <c r="E19" s="4" t="s">
        <v>31</v>
      </c>
      <c r="F19" s="4" t="n">
        <v>7</v>
      </c>
      <c r="G19" s="4" t="n">
        <v>6</v>
      </c>
      <c r="H19" s="4" t="n">
        <v>7</v>
      </c>
      <c r="I19" s="4" t="n">
        <v>9</v>
      </c>
      <c r="J19" s="4" t="n">
        <f aca="false">F19*G19*H19*I19</f>
        <v>2646</v>
      </c>
      <c r="K19" s="4" t="s">
        <v>21</v>
      </c>
      <c r="L19" s="4" t="n">
        <v>15</v>
      </c>
      <c r="M19" s="4" t="s">
        <v>26</v>
      </c>
      <c r="N19" s="4" t="s">
        <v>84</v>
      </c>
      <c r="O19" s="5" t="s">
        <v>85</v>
      </c>
      <c r="P19" s="5"/>
    </row>
    <row r="20" customFormat="false" ht="23.85" hidden="false" customHeight="false" outlineLevel="0" collapsed="false">
      <c r="A20" s="2" t="n">
        <v>19</v>
      </c>
      <c r="B20" s="2" t="s">
        <v>16</v>
      </c>
      <c r="C20" s="3" t="s">
        <v>86</v>
      </c>
      <c r="D20" s="3" t="s">
        <v>87</v>
      </c>
      <c r="E20" s="2" t="s">
        <v>40</v>
      </c>
      <c r="F20" s="2" t="n">
        <v>8</v>
      </c>
      <c r="G20" s="2" t="n">
        <v>5</v>
      </c>
      <c r="H20" s="2" t="n">
        <v>7</v>
      </c>
      <c r="I20" s="2" t="n">
        <v>7</v>
      </c>
      <c r="J20" s="2" t="n">
        <f aca="false">F20*G20*H20*I20</f>
        <v>1960</v>
      </c>
      <c r="K20" s="2" t="s">
        <v>26</v>
      </c>
      <c r="L20" s="2" t="n">
        <v>10</v>
      </c>
      <c r="M20" s="2" t="s">
        <v>41</v>
      </c>
      <c r="N20" s="2" t="s">
        <v>88</v>
      </c>
      <c r="O20" s="3" t="s">
        <v>89</v>
      </c>
      <c r="P20" s="3"/>
    </row>
    <row r="21" customFormat="false" ht="23.85" hidden="false" customHeight="false" outlineLevel="0" collapsed="false">
      <c r="A21" s="4" t="n">
        <v>20</v>
      </c>
      <c r="B21" s="4" t="s">
        <v>16</v>
      </c>
      <c r="C21" s="5" t="s">
        <v>90</v>
      </c>
      <c r="D21" s="5" t="s">
        <v>91</v>
      </c>
      <c r="E21" s="4" t="s">
        <v>40</v>
      </c>
      <c r="F21" s="4" t="n">
        <v>6</v>
      </c>
      <c r="G21" s="4" t="n">
        <v>4</v>
      </c>
      <c r="H21" s="4" t="n">
        <v>7</v>
      </c>
      <c r="I21" s="4" t="n">
        <v>8</v>
      </c>
      <c r="J21" s="4" t="n">
        <f aca="false">F21*G21*H21*I21</f>
        <v>1344</v>
      </c>
      <c r="K21" s="4" t="s">
        <v>41</v>
      </c>
      <c r="L21" s="4" t="n">
        <v>8</v>
      </c>
      <c r="M21" s="4" t="s">
        <v>41</v>
      </c>
      <c r="N21" s="4" t="s">
        <v>52</v>
      </c>
      <c r="O21" s="5" t="s">
        <v>92</v>
      </c>
      <c r="P21" s="5"/>
    </row>
    <row r="22" customFormat="false" ht="23.85" hidden="false" customHeight="false" outlineLevel="0" collapsed="false">
      <c r="A22" s="2" t="n">
        <v>21</v>
      </c>
      <c r="B22" s="2" t="s">
        <v>16</v>
      </c>
      <c r="C22" s="3" t="s">
        <v>93</v>
      </c>
      <c r="D22" s="3" t="s">
        <v>94</v>
      </c>
      <c r="E22" s="2" t="s">
        <v>31</v>
      </c>
      <c r="F22" s="2" t="n">
        <v>6</v>
      </c>
      <c r="G22" s="2" t="n">
        <v>7</v>
      </c>
      <c r="H22" s="2" t="n">
        <v>8</v>
      </c>
      <c r="I22" s="2" t="n">
        <v>8</v>
      </c>
      <c r="J22" s="2" t="n">
        <f aca="false">F22*G22*H22*I22</f>
        <v>2688</v>
      </c>
      <c r="K22" s="2" t="s">
        <v>26</v>
      </c>
      <c r="L22" s="2" t="n">
        <v>14</v>
      </c>
      <c r="M22" s="2" t="s">
        <v>26</v>
      </c>
      <c r="N22" s="2" t="s">
        <v>65</v>
      </c>
      <c r="O22" s="3" t="s">
        <v>95</v>
      </c>
      <c r="P22" s="3"/>
    </row>
    <row r="23" customFormat="false" ht="23.85" hidden="false" customHeight="false" outlineLevel="0" collapsed="false">
      <c r="A23" s="4" t="n">
        <v>22</v>
      </c>
      <c r="B23" s="4" t="s">
        <v>16</v>
      </c>
      <c r="C23" s="5" t="s">
        <v>96</v>
      </c>
      <c r="D23" s="5" t="s">
        <v>97</v>
      </c>
      <c r="E23" s="4" t="s">
        <v>19</v>
      </c>
      <c r="F23" s="4" t="n">
        <v>5</v>
      </c>
      <c r="G23" s="4" t="n">
        <v>8</v>
      </c>
      <c r="H23" s="4" t="n">
        <v>7</v>
      </c>
      <c r="I23" s="4" t="n">
        <v>8</v>
      </c>
      <c r="J23" s="4" t="n">
        <f aca="false">F23*G23*H23*I23</f>
        <v>2240</v>
      </c>
      <c r="K23" s="4" t="s">
        <v>41</v>
      </c>
      <c r="L23" s="4" t="n">
        <v>4</v>
      </c>
      <c r="M23" s="4" t="s">
        <v>26</v>
      </c>
      <c r="N23" s="4" t="s">
        <v>52</v>
      </c>
      <c r="O23" s="5" t="s">
        <v>98</v>
      </c>
      <c r="P23" s="5"/>
    </row>
    <row r="24" customFormat="false" ht="23.85" hidden="false" customHeight="false" outlineLevel="0" collapsed="false">
      <c r="A24" s="2" t="n">
        <v>23</v>
      </c>
      <c r="B24" s="2" t="s">
        <v>16</v>
      </c>
      <c r="C24" s="3" t="s">
        <v>99</v>
      </c>
      <c r="D24" s="3" t="s">
        <v>100</v>
      </c>
      <c r="E24" s="2" t="s">
        <v>19</v>
      </c>
      <c r="F24" s="2" t="n">
        <v>7</v>
      </c>
      <c r="G24" s="2" t="n">
        <v>8</v>
      </c>
      <c r="H24" s="2" t="n">
        <v>7</v>
      </c>
      <c r="I24" s="2" t="n">
        <v>8</v>
      </c>
      <c r="J24" s="2" t="n">
        <f aca="false">F24*G24*H24*I24</f>
        <v>3136</v>
      </c>
      <c r="K24" s="2" t="s">
        <v>26</v>
      </c>
      <c r="L24" s="2" t="n">
        <v>10</v>
      </c>
      <c r="M24" s="2" t="s">
        <v>26</v>
      </c>
      <c r="N24" s="2" t="s">
        <v>22</v>
      </c>
      <c r="O24" s="3" t="s">
        <v>101</v>
      </c>
      <c r="P24" s="3"/>
    </row>
    <row r="25" customFormat="false" ht="23.85" hidden="false" customHeight="false" outlineLevel="0" collapsed="false">
      <c r="A25" s="4" t="n">
        <v>24</v>
      </c>
      <c r="B25" s="4" t="s">
        <v>16</v>
      </c>
      <c r="C25" s="5" t="s">
        <v>102</v>
      </c>
      <c r="D25" s="5" t="s">
        <v>103</v>
      </c>
      <c r="E25" s="4" t="s">
        <v>19</v>
      </c>
      <c r="F25" s="4" t="n">
        <v>9</v>
      </c>
      <c r="G25" s="4" t="n">
        <v>8</v>
      </c>
      <c r="H25" s="4" t="n">
        <v>6</v>
      </c>
      <c r="I25" s="4" t="n">
        <v>5</v>
      </c>
      <c r="J25" s="4" t="n">
        <f aca="false">F25*G25*H25*I25</f>
        <v>2160</v>
      </c>
      <c r="K25" s="4" t="s">
        <v>26</v>
      </c>
      <c r="L25" s="4" t="n">
        <v>6</v>
      </c>
      <c r="M25" s="4" t="s">
        <v>21</v>
      </c>
      <c r="N25" s="4" t="s">
        <v>104</v>
      </c>
      <c r="O25" s="5" t="s">
        <v>95</v>
      </c>
      <c r="P25" s="5"/>
    </row>
    <row r="26" customFormat="false" ht="23.85" hidden="false" customHeight="false" outlineLevel="0" collapsed="false">
      <c r="A26" s="2" t="n">
        <v>25</v>
      </c>
      <c r="B26" s="2" t="s">
        <v>16</v>
      </c>
      <c r="C26" s="3" t="s">
        <v>105</v>
      </c>
      <c r="D26" s="3" t="s">
        <v>106</v>
      </c>
      <c r="E26" s="2" t="s">
        <v>19</v>
      </c>
      <c r="F26" s="2" t="n">
        <v>7</v>
      </c>
      <c r="G26" s="2" t="n">
        <v>8</v>
      </c>
      <c r="H26" s="2" t="n">
        <v>6</v>
      </c>
      <c r="I26" s="2" t="n">
        <v>7</v>
      </c>
      <c r="J26" s="2" t="n">
        <f aca="false">F26*G26*H26*I26</f>
        <v>2352</v>
      </c>
      <c r="K26" s="2" t="s">
        <v>41</v>
      </c>
      <c r="L26" s="2" t="n">
        <v>5</v>
      </c>
      <c r="M26" s="2" t="s">
        <v>26</v>
      </c>
      <c r="N26" s="2" t="s">
        <v>32</v>
      </c>
      <c r="O26" s="3" t="s">
        <v>107</v>
      </c>
      <c r="P26" s="3"/>
    </row>
    <row r="27" customFormat="false" ht="23.85" hidden="false" customHeight="false" outlineLevel="0" collapsed="false">
      <c r="A27" s="4" t="n">
        <v>26</v>
      </c>
      <c r="B27" s="4" t="s">
        <v>108</v>
      </c>
      <c r="C27" s="5" t="s">
        <v>109</v>
      </c>
      <c r="D27" s="5" t="s">
        <v>110</v>
      </c>
      <c r="E27" s="4" t="s">
        <v>19</v>
      </c>
      <c r="F27" s="4" t="n">
        <v>9</v>
      </c>
      <c r="G27" s="4" t="n">
        <v>8</v>
      </c>
      <c r="H27" s="4" t="n">
        <v>8</v>
      </c>
      <c r="I27" s="4" t="n">
        <v>7</v>
      </c>
      <c r="J27" s="4" t="n">
        <f aca="false">F27*G27*H27*I27</f>
        <v>4032</v>
      </c>
      <c r="K27" s="4" t="s">
        <v>20</v>
      </c>
      <c r="L27" s="4" t="n">
        <v>35</v>
      </c>
      <c r="M27" s="4" t="s">
        <v>21</v>
      </c>
      <c r="N27" s="4" t="s">
        <v>111</v>
      </c>
      <c r="O27" s="5" t="s">
        <v>112</v>
      </c>
      <c r="P27" s="5"/>
    </row>
    <row r="28" customFormat="false" ht="23.85" hidden="false" customHeight="false" outlineLevel="0" collapsed="false">
      <c r="A28" s="2" t="n">
        <v>27</v>
      </c>
      <c r="B28" s="2" t="s">
        <v>108</v>
      </c>
      <c r="C28" s="3" t="s">
        <v>113</v>
      </c>
      <c r="D28" s="3" t="s">
        <v>114</v>
      </c>
      <c r="E28" s="2" t="s">
        <v>19</v>
      </c>
      <c r="F28" s="2" t="n">
        <v>8</v>
      </c>
      <c r="G28" s="2" t="n">
        <v>9</v>
      </c>
      <c r="H28" s="2" t="n">
        <v>8</v>
      </c>
      <c r="I28" s="2" t="n">
        <v>8</v>
      </c>
      <c r="J28" s="2" t="n">
        <f aca="false">F28*G28*H28*I28</f>
        <v>4608</v>
      </c>
      <c r="K28" s="2" t="s">
        <v>20</v>
      </c>
      <c r="L28" s="2" t="n">
        <v>25</v>
      </c>
      <c r="M28" s="2" t="s">
        <v>26</v>
      </c>
      <c r="N28" s="2" t="s">
        <v>115</v>
      </c>
      <c r="O28" s="3" t="s">
        <v>116</v>
      </c>
      <c r="P28" s="3"/>
    </row>
    <row r="29" customFormat="false" ht="23.85" hidden="false" customHeight="false" outlineLevel="0" collapsed="false">
      <c r="A29" s="4" t="n">
        <v>28</v>
      </c>
      <c r="B29" s="4" t="s">
        <v>108</v>
      </c>
      <c r="C29" s="5" t="s">
        <v>117</v>
      </c>
      <c r="D29" s="5" t="s">
        <v>118</v>
      </c>
      <c r="E29" s="4" t="s">
        <v>31</v>
      </c>
      <c r="F29" s="4" t="n">
        <v>6</v>
      </c>
      <c r="G29" s="4" t="n">
        <v>6</v>
      </c>
      <c r="H29" s="4" t="n">
        <v>8</v>
      </c>
      <c r="I29" s="4" t="n">
        <v>8</v>
      </c>
      <c r="J29" s="4" t="n">
        <f aca="false">F29*G29*H29*I29</f>
        <v>2304</v>
      </c>
      <c r="K29" s="4" t="s">
        <v>21</v>
      </c>
      <c r="L29" s="4" t="n">
        <v>20</v>
      </c>
      <c r="M29" s="4" t="s">
        <v>26</v>
      </c>
      <c r="N29" s="4" t="s">
        <v>119</v>
      </c>
      <c r="O29" s="5" t="s">
        <v>120</v>
      </c>
      <c r="P29" s="5"/>
    </row>
    <row r="30" customFormat="false" ht="23.85" hidden="false" customHeight="false" outlineLevel="0" collapsed="false">
      <c r="A30" s="2" t="n">
        <v>29</v>
      </c>
      <c r="B30" s="2" t="s">
        <v>108</v>
      </c>
      <c r="C30" s="3" t="s">
        <v>121</v>
      </c>
      <c r="D30" s="3" t="s">
        <v>122</v>
      </c>
      <c r="E30" s="2" t="s">
        <v>40</v>
      </c>
      <c r="F30" s="2" t="n">
        <v>7</v>
      </c>
      <c r="G30" s="2" t="n">
        <v>6</v>
      </c>
      <c r="H30" s="2" t="n">
        <v>8</v>
      </c>
      <c r="I30" s="2" t="n">
        <v>8</v>
      </c>
      <c r="J30" s="2" t="n">
        <f aca="false">F30*G30*H30*I30</f>
        <v>2688</v>
      </c>
      <c r="K30" s="2" t="s">
        <v>21</v>
      </c>
      <c r="L30" s="2" t="n">
        <v>40</v>
      </c>
      <c r="M30" s="2" t="s">
        <v>26</v>
      </c>
      <c r="N30" s="2" t="s">
        <v>123</v>
      </c>
      <c r="O30" s="3" t="s">
        <v>124</v>
      </c>
      <c r="P30" s="3"/>
    </row>
    <row r="31" customFormat="false" ht="23.85" hidden="false" customHeight="false" outlineLevel="0" collapsed="false">
      <c r="A31" s="4" t="n">
        <v>30</v>
      </c>
      <c r="B31" s="4" t="s">
        <v>108</v>
      </c>
      <c r="C31" s="5" t="s">
        <v>125</v>
      </c>
      <c r="D31" s="5" t="s">
        <v>126</v>
      </c>
      <c r="E31" s="4" t="s">
        <v>19</v>
      </c>
      <c r="F31" s="4" t="n">
        <v>8</v>
      </c>
      <c r="G31" s="4" t="n">
        <v>8</v>
      </c>
      <c r="H31" s="4" t="n">
        <v>7</v>
      </c>
      <c r="I31" s="4" t="n">
        <v>7</v>
      </c>
      <c r="J31" s="4" t="n">
        <f aca="false">F31*G31*H31*I31</f>
        <v>3136</v>
      </c>
      <c r="K31" s="4" t="s">
        <v>21</v>
      </c>
      <c r="L31" s="4" t="n">
        <v>22</v>
      </c>
      <c r="M31" s="4" t="s">
        <v>26</v>
      </c>
      <c r="N31" s="4" t="s">
        <v>84</v>
      </c>
      <c r="O31" s="5" t="s">
        <v>127</v>
      </c>
      <c r="P31" s="5"/>
    </row>
    <row r="32" customFormat="false" ht="23.85" hidden="false" customHeight="false" outlineLevel="0" collapsed="false">
      <c r="A32" s="2" t="n">
        <v>31</v>
      </c>
      <c r="B32" s="2" t="s">
        <v>108</v>
      </c>
      <c r="C32" s="3" t="s">
        <v>128</v>
      </c>
      <c r="D32" s="3" t="s">
        <v>129</v>
      </c>
      <c r="E32" s="2" t="s">
        <v>31</v>
      </c>
      <c r="F32" s="2" t="n">
        <v>7</v>
      </c>
      <c r="G32" s="2" t="n">
        <v>6</v>
      </c>
      <c r="H32" s="2" t="n">
        <v>8</v>
      </c>
      <c r="I32" s="2" t="n">
        <v>7</v>
      </c>
      <c r="J32" s="2" t="n">
        <f aca="false">F32*G32*H32*I32</f>
        <v>2352</v>
      </c>
      <c r="K32" s="2" t="s">
        <v>21</v>
      </c>
      <c r="L32" s="2" t="n">
        <v>18</v>
      </c>
      <c r="M32" s="2" t="s">
        <v>26</v>
      </c>
      <c r="N32" s="2" t="s">
        <v>111</v>
      </c>
      <c r="O32" s="3" t="s">
        <v>130</v>
      </c>
      <c r="P32" s="3"/>
    </row>
    <row r="33" customFormat="false" ht="23.85" hidden="false" customHeight="false" outlineLevel="0" collapsed="false">
      <c r="A33" s="4" t="n">
        <v>32</v>
      </c>
      <c r="B33" s="4" t="s">
        <v>108</v>
      </c>
      <c r="C33" s="5" t="s">
        <v>131</v>
      </c>
      <c r="D33" s="5" t="s">
        <v>132</v>
      </c>
      <c r="E33" s="4" t="s">
        <v>19</v>
      </c>
      <c r="F33" s="4" t="n">
        <v>8</v>
      </c>
      <c r="G33" s="4" t="n">
        <v>7</v>
      </c>
      <c r="H33" s="4" t="n">
        <v>7</v>
      </c>
      <c r="I33" s="4" t="n">
        <v>7</v>
      </c>
      <c r="J33" s="4" t="n">
        <f aca="false">F33*G33*H33*I33</f>
        <v>2744</v>
      </c>
      <c r="K33" s="4" t="s">
        <v>21</v>
      </c>
      <c r="L33" s="4" t="n">
        <v>15</v>
      </c>
      <c r="M33" s="4" t="s">
        <v>41</v>
      </c>
      <c r="N33" s="4" t="s">
        <v>119</v>
      </c>
      <c r="O33" s="5" t="s">
        <v>133</v>
      </c>
      <c r="P33" s="5"/>
    </row>
    <row r="34" customFormat="false" ht="23.85" hidden="false" customHeight="false" outlineLevel="0" collapsed="false">
      <c r="A34" s="2" t="n">
        <v>33</v>
      </c>
      <c r="B34" s="2" t="s">
        <v>108</v>
      </c>
      <c r="C34" s="3" t="s">
        <v>134</v>
      </c>
      <c r="D34" s="3" t="s">
        <v>135</v>
      </c>
      <c r="E34" s="2" t="s">
        <v>31</v>
      </c>
      <c r="F34" s="2" t="n">
        <v>6</v>
      </c>
      <c r="G34" s="2" t="n">
        <v>5</v>
      </c>
      <c r="H34" s="2" t="n">
        <v>7</v>
      </c>
      <c r="I34" s="2" t="n">
        <v>8</v>
      </c>
      <c r="J34" s="2" t="n">
        <f aca="false">F34*G34*H34*I34</f>
        <v>1680</v>
      </c>
      <c r="K34" s="2" t="s">
        <v>21</v>
      </c>
      <c r="L34" s="2" t="n">
        <v>12</v>
      </c>
      <c r="M34" s="2" t="s">
        <v>41</v>
      </c>
      <c r="N34" s="2" t="s">
        <v>111</v>
      </c>
      <c r="O34" s="3" t="s">
        <v>136</v>
      </c>
      <c r="P34" s="3"/>
    </row>
    <row r="35" customFormat="false" ht="23.85" hidden="false" customHeight="false" outlineLevel="0" collapsed="false">
      <c r="A35" s="4" t="n">
        <v>34</v>
      </c>
      <c r="B35" s="4" t="s">
        <v>108</v>
      </c>
      <c r="C35" s="5" t="s">
        <v>137</v>
      </c>
      <c r="D35" s="5" t="s">
        <v>138</v>
      </c>
      <c r="E35" s="4" t="s">
        <v>19</v>
      </c>
      <c r="F35" s="4" t="n">
        <v>8</v>
      </c>
      <c r="G35" s="4" t="n">
        <v>8</v>
      </c>
      <c r="H35" s="4" t="n">
        <v>7</v>
      </c>
      <c r="I35" s="4" t="n">
        <v>6</v>
      </c>
      <c r="J35" s="4" t="n">
        <f aca="false">F35*G35*H35*I35</f>
        <v>2688</v>
      </c>
      <c r="K35" s="4" t="s">
        <v>26</v>
      </c>
      <c r="L35" s="4" t="n">
        <v>8</v>
      </c>
      <c r="M35" s="4" t="s">
        <v>21</v>
      </c>
      <c r="N35" s="4" t="s">
        <v>52</v>
      </c>
      <c r="O35" s="5" t="s">
        <v>139</v>
      </c>
      <c r="P35" s="5"/>
    </row>
    <row r="36" customFormat="false" ht="23.85" hidden="false" customHeight="false" outlineLevel="0" collapsed="false">
      <c r="A36" s="2" t="n">
        <v>35</v>
      </c>
      <c r="B36" s="2" t="s">
        <v>108</v>
      </c>
      <c r="C36" s="3" t="s">
        <v>140</v>
      </c>
      <c r="D36" s="3" t="s">
        <v>141</v>
      </c>
      <c r="E36" s="2" t="s">
        <v>19</v>
      </c>
      <c r="F36" s="2" t="n">
        <v>8</v>
      </c>
      <c r="G36" s="2" t="n">
        <v>8</v>
      </c>
      <c r="H36" s="2" t="n">
        <v>7</v>
      </c>
      <c r="I36" s="2" t="n">
        <v>6</v>
      </c>
      <c r="J36" s="2" t="n">
        <f aca="false">F36*G36*H36*I36</f>
        <v>2688</v>
      </c>
      <c r="K36" s="2" t="s">
        <v>26</v>
      </c>
      <c r="L36" s="2" t="n">
        <v>10</v>
      </c>
      <c r="M36" s="2" t="s">
        <v>26</v>
      </c>
      <c r="N36" s="2" t="s">
        <v>119</v>
      </c>
      <c r="O36" s="3" t="s">
        <v>142</v>
      </c>
      <c r="P36" s="3"/>
    </row>
    <row r="37" customFormat="false" ht="23.85" hidden="false" customHeight="false" outlineLevel="0" collapsed="false">
      <c r="A37" s="4" t="n">
        <v>36</v>
      </c>
      <c r="B37" s="4" t="s">
        <v>108</v>
      </c>
      <c r="C37" s="5" t="s">
        <v>143</v>
      </c>
      <c r="D37" s="5" t="s">
        <v>144</v>
      </c>
      <c r="E37" s="4" t="s">
        <v>19</v>
      </c>
      <c r="F37" s="4" t="n">
        <v>7</v>
      </c>
      <c r="G37" s="4" t="n">
        <v>7</v>
      </c>
      <c r="H37" s="4" t="n">
        <v>7</v>
      </c>
      <c r="I37" s="4" t="n">
        <v>8</v>
      </c>
      <c r="J37" s="4" t="n">
        <f aca="false">F37*G37*H37*I37</f>
        <v>2744</v>
      </c>
      <c r="K37" s="4" t="s">
        <v>26</v>
      </c>
      <c r="L37" s="4" t="n">
        <v>9</v>
      </c>
      <c r="M37" s="4" t="s">
        <v>26</v>
      </c>
      <c r="N37" s="4" t="s">
        <v>145</v>
      </c>
      <c r="O37" s="5" t="s">
        <v>101</v>
      </c>
      <c r="P37" s="5"/>
    </row>
    <row r="38" customFormat="false" ht="23.85" hidden="false" customHeight="false" outlineLevel="0" collapsed="false">
      <c r="A38" s="2" t="n">
        <v>37</v>
      </c>
      <c r="B38" s="2" t="s">
        <v>108</v>
      </c>
      <c r="C38" s="3" t="s">
        <v>146</v>
      </c>
      <c r="D38" s="3" t="s">
        <v>147</v>
      </c>
      <c r="E38" s="2" t="s">
        <v>19</v>
      </c>
      <c r="F38" s="2" t="n">
        <v>8</v>
      </c>
      <c r="G38" s="2" t="n">
        <v>8</v>
      </c>
      <c r="H38" s="2" t="n">
        <v>7</v>
      </c>
      <c r="I38" s="2" t="n">
        <v>6</v>
      </c>
      <c r="J38" s="2" t="n">
        <f aca="false">F38*G38*H38*I38</f>
        <v>2688</v>
      </c>
      <c r="K38" s="2" t="s">
        <v>26</v>
      </c>
      <c r="L38" s="2" t="n">
        <v>15</v>
      </c>
      <c r="M38" s="2" t="s">
        <v>21</v>
      </c>
      <c r="N38" s="2" t="s">
        <v>119</v>
      </c>
      <c r="O38" s="3" t="s">
        <v>133</v>
      </c>
      <c r="P38" s="3"/>
    </row>
    <row r="39" customFormat="false" ht="23.85" hidden="false" customHeight="false" outlineLevel="0" collapsed="false">
      <c r="A39" s="4" t="n">
        <v>38</v>
      </c>
      <c r="B39" s="4" t="s">
        <v>108</v>
      </c>
      <c r="C39" s="5" t="s">
        <v>148</v>
      </c>
      <c r="D39" s="5" t="s">
        <v>149</v>
      </c>
      <c r="E39" s="4" t="s">
        <v>31</v>
      </c>
      <c r="F39" s="4" t="n">
        <v>5</v>
      </c>
      <c r="G39" s="4" t="n">
        <v>6</v>
      </c>
      <c r="H39" s="4" t="n">
        <v>7</v>
      </c>
      <c r="I39" s="4" t="n">
        <v>9</v>
      </c>
      <c r="J39" s="4" t="n">
        <f aca="false">F39*G39*H39*I39</f>
        <v>1890</v>
      </c>
      <c r="K39" s="4" t="s">
        <v>21</v>
      </c>
      <c r="L39" s="4" t="n">
        <v>12</v>
      </c>
      <c r="M39" s="4" t="s">
        <v>41</v>
      </c>
      <c r="N39" s="4" t="s">
        <v>52</v>
      </c>
      <c r="O39" s="5" t="s">
        <v>101</v>
      </c>
      <c r="P39" s="5"/>
    </row>
    <row r="40" customFormat="false" ht="23.85" hidden="false" customHeight="false" outlineLevel="0" collapsed="false">
      <c r="A40" s="2" t="n">
        <v>39</v>
      </c>
      <c r="B40" s="2" t="s">
        <v>108</v>
      </c>
      <c r="C40" s="3" t="s">
        <v>150</v>
      </c>
      <c r="D40" s="3" t="s">
        <v>151</v>
      </c>
      <c r="E40" s="2" t="s">
        <v>19</v>
      </c>
      <c r="F40" s="2" t="n">
        <v>7</v>
      </c>
      <c r="G40" s="2" t="n">
        <v>8</v>
      </c>
      <c r="H40" s="2" t="n">
        <v>7</v>
      </c>
      <c r="I40" s="2" t="n">
        <v>6</v>
      </c>
      <c r="J40" s="2" t="n">
        <f aca="false">F40*G40*H40*I40</f>
        <v>2352</v>
      </c>
      <c r="K40" s="2" t="s">
        <v>26</v>
      </c>
      <c r="L40" s="2" t="n">
        <v>7</v>
      </c>
      <c r="M40" s="2" t="s">
        <v>26</v>
      </c>
      <c r="N40" s="2" t="s">
        <v>119</v>
      </c>
      <c r="O40" s="3" t="s">
        <v>142</v>
      </c>
      <c r="P40" s="3"/>
    </row>
    <row r="41" customFormat="false" ht="23.85" hidden="false" customHeight="false" outlineLevel="0" collapsed="false">
      <c r="A41" s="4" t="n">
        <v>40</v>
      </c>
      <c r="B41" s="4" t="s">
        <v>108</v>
      </c>
      <c r="C41" s="5" t="s">
        <v>152</v>
      </c>
      <c r="D41" s="5" t="s">
        <v>153</v>
      </c>
      <c r="E41" s="4" t="s">
        <v>19</v>
      </c>
      <c r="F41" s="4" t="n">
        <v>8</v>
      </c>
      <c r="G41" s="4" t="n">
        <v>8</v>
      </c>
      <c r="H41" s="4" t="n">
        <v>7</v>
      </c>
      <c r="I41" s="4" t="n">
        <v>6</v>
      </c>
      <c r="J41" s="4" t="n">
        <f aca="false">F41*G41*H41*I41</f>
        <v>2688</v>
      </c>
      <c r="K41" s="4" t="s">
        <v>26</v>
      </c>
      <c r="L41" s="4" t="n">
        <v>8</v>
      </c>
      <c r="M41" s="4" t="s">
        <v>21</v>
      </c>
      <c r="N41" s="4" t="s">
        <v>111</v>
      </c>
      <c r="O41" s="5" t="s">
        <v>133</v>
      </c>
      <c r="P41" s="5"/>
    </row>
    <row r="42" customFormat="false" ht="23.85" hidden="false" customHeight="false" outlineLevel="0" collapsed="false">
      <c r="A42" s="2" t="n">
        <v>41</v>
      </c>
      <c r="B42" s="2" t="s">
        <v>108</v>
      </c>
      <c r="C42" s="3" t="s">
        <v>154</v>
      </c>
      <c r="D42" s="3" t="s">
        <v>155</v>
      </c>
      <c r="E42" s="2" t="s">
        <v>31</v>
      </c>
      <c r="F42" s="2" t="n">
        <v>7</v>
      </c>
      <c r="G42" s="2" t="n">
        <v>7</v>
      </c>
      <c r="H42" s="2" t="n">
        <v>8</v>
      </c>
      <c r="I42" s="2" t="n">
        <v>7</v>
      </c>
      <c r="J42" s="2" t="n">
        <f aca="false">F42*G42*H42*I42</f>
        <v>2744</v>
      </c>
      <c r="K42" s="2" t="s">
        <v>21</v>
      </c>
      <c r="L42" s="2" t="n">
        <v>18</v>
      </c>
      <c r="M42" s="2" t="s">
        <v>26</v>
      </c>
      <c r="N42" s="2" t="s">
        <v>111</v>
      </c>
      <c r="O42" s="3" t="s">
        <v>156</v>
      </c>
      <c r="P42" s="3"/>
    </row>
    <row r="43" customFormat="false" ht="23.85" hidden="false" customHeight="false" outlineLevel="0" collapsed="false">
      <c r="A43" s="4" t="n">
        <v>42</v>
      </c>
      <c r="B43" s="4" t="s">
        <v>108</v>
      </c>
      <c r="C43" s="5" t="s">
        <v>157</v>
      </c>
      <c r="D43" s="5" t="s">
        <v>158</v>
      </c>
      <c r="E43" s="4" t="s">
        <v>19</v>
      </c>
      <c r="F43" s="4" t="n">
        <v>7</v>
      </c>
      <c r="G43" s="4" t="n">
        <v>8</v>
      </c>
      <c r="H43" s="4" t="n">
        <v>7</v>
      </c>
      <c r="I43" s="4" t="n">
        <v>6</v>
      </c>
      <c r="J43" s="4" t="n">
        <f aca="false">F43*G43*H43*I43</f>
        <v>2352</v>
      </c>
      <c r="K43" s="4" t="s">
        <v>26</v>
      </c>
      <c r="L43" s="4" t="n">
        <v>5</v>
      </c>
      <c r="M43" s="4" t="s">
        <v>26</v>
      </c>
      <c r="N43" s="4" t="s">
        <v>104</v>
      </c>
      <c r="O43" s="5" t="s">
        <v>116</v>
      </c>
      <c r="P43" s="5"/>
    </row>
    <row r="44" customFormat="false" ht="23.85" hidden="false" customHeight="false" outlineLevel="0" collapsed="false">
      <c r="A44" s="2" t="n">
        <v>43</v>
      </c>
      <c r="B44" s="2" t="s">
        <v>108</v>
      </c>
      <c r="C44" s="3" t="s">
        <v>159</v>
      </c>
      <c r="D44" s="3" t="s">
        <v>160</v>
      </c>
      <c r="E44" s="2" t="s">
        <v>19</v>
      </c>
      <c r="F44" s="2" t="n">
        <v>7</v>
      </c>
      <c r="G44" s="2" t="n">
        <v>7</v>
      </c>
      <c r="H44" s="2" t="n">
        <v>6</v>
      </c>
      <c r="I44" s="2" t="n">
        <v>6</v>
      </c>
      <c r="J44" s="2" t="n">
        <f aca="false">F44*G44*H44*I44</f>
        <v>1764</v>
      </c>
      <c r="K44" s="2" t="s">
        <v>41</v>
      </c>
      <c r="L44" s="2" t="n">
        <v>4</v>
      </c>
      <c r="M44" s="2" t="s">
        <v>41</v>
      </c>
      <c r="N44" s="2" t="s">
        <v>119</v>
      </c>
      <c r="O44" s="3" t="s">
        <v>133</v>
      </c>
      <c r="P44" s="3"/>
    </row>
    <row r="45" customFormat="false" ht="23.85" hidden="false" customHeight="false" outlineLevel="0" collapsed="false">
      <c r="A45" s="4" t="n">
        <v>44</v>
      </c>
      <c r="B45" s="4" t="s">
        <v>108</v>
      </c>
      <c r="C45" s="5" t="s">
        <v>161</v>
      </c>
      <c r="D45" s="5" t="s">
        <v>162</v>
      </c>
      <c r="E45" s="4" t="s">
        <v>19</v>
      </c>
      <c r="F45" s="4" t="n">
        <v>8</v>
      </c>
      <c r="G45" s="4" t="n">
        <v>7</v>
      </c>
      <c r="H45" s="4" t="n">
        <v>7</v>
      </c>
      <c r="I45" s="4" t="n">
        <v>7</v>
      </c>
      <c r="J45" s="4" t="n">
        <f aca="false">F45*G45*H45*I45</f>
        <v>2744</v>
      </c>
      <c r="K45" s="4" t="s">
        <v>26</v>
      </c>
      <c r="L45" s="4" t="n">
        <v>10</v>
      </c>
      <c r="M45" s="4" t="s">
        <v>26</v>
      </c>
      <c r="N45" s="4" t="s">
        <v>32</v>
      </c>
      <c r="O45" s="5" t="s">
        <v>127</v>
      </c>
      <c r="P45" s="5"/>
    </row>
    <row r="46" customFormat="false" ht="35.05" hidden="false" customHeight="false" outlineLevel="0" collapsed="false">
      <c r="A46" s="2" t="n">
        <v>45</v>
      </c>
      <c r="B46" s="2" t="s">
        <v>108</v>
      </c>
      <c r="C46" s="3" t="s">
        <v>163</v>
      </c>
      <c r="D46" s="3" t="s">
        <v>164</v>
      </c>
      <c r="E46" s="2" t="s">
        <v>40</v>
      </c>
      <c r="F46" s="2" t="n">
        <v>7</v>
      </c>
      <c r="G46" s="2" t="n">
        <v>5</v>
      </c>
      <c r="H46" s="2" t="n">
        <v>7</v>
      </c>
      <c r="I46" s="2" t="n">
        <v>7</v>
      </c>
      <c r="J46" s="2" t="n">
        <f aca="false">F46*G46*H46*I46</f>
        <v>1715</v>
      </c>
      <c r="K46" s="2" t="s">
        <v>26</v>
      </c>
      <c r="L46" s="2" t="n">
        <v>15</v>
      </c>
      <c r="M46" s="2" t="s">
        <v>41</v>
      </c>
      <c r="N46" s="2" t="s">
        <v>42</v>
      </c>
      <c r="O46" s="3" t="s">
        <v>165</v>
      </c>
      <c r="P46" s="3"/>
    </row>
    <row r="47" customFormat="false" ht="23.85" hidden="false" customHeight="false" outlineLevel="0" collapsed="false">
      <c r="A47" s="4" t="n">
        <v>46</v>
      </c>
      <c r="B47" s="4" t="s">
        <v>166</v>
      </c>
      <c r="C47" s="5" t="s">
        <v>167</v>
      </c>
      <c r="D47" s="5" t="s">
        <v>168</v>
      </c>
      <c r="E47" s="4" t="s">
        <v>19</v>
      </c>
      <c r="F47" s="4" t="n">
        <v>9</v>
      </c>
      <c r="G47" s="4" t="n">
        <v>9</v>
      </c>
      <c r="H47" s="4" t="n">
        <v>9</v>
      </c>
      <c r="I47" s="4" t="n">
        <v>7</v>
      </c>
      <c r="J47" s="4" t="n">
        <f aca="false">F47*G47*H47*I47</f>
        <v>5103</v>
      </c>
      <c r="K47" s="4" t="s">
        <v>20</v>
      </c>
      <c r="L47" s="4" t="n">
        <v>30</v>
      </c>
      <c r="M47" s="4" t="s">
        <v>21</v>
      </c>
      <c r="N47" s="4" t="s">
        <v>169</v>
      </c>
      <c r="O47" s="5" t="s">
        <v>170</v>
      </c>
      <c r="P47" s="5"/>
    </row>
    <row r="48" customFormat="false" ht="23.85" hidden="false" customHeight="false" outlineLevel="0" collapsed="false">
      <c r="A48" s="2" t="n">
        <v>47</v>
      </c>
      <c r="B48" s="2" t="s">
        <v>166</v>
      </c>
      <c r="C48" s="3" t="s">
        <v>171</v>
      </c>
      <c r="D48" s="3" t="s">
        <v>172</v>
      </c>
      <c r="E48" s="2" t="s">
        <v>19</v>
      </c>
      <c r="F48" s="2" t="n">
        <v>8</v>
      </c>
      <c r="G48" s="2" t="n">
        <v>8</v>
      </c>
      <c r="H48" s="2" t="n">
        <v>8</v>
      </c>
      <c r="I48" s="2" t="n">
        <v>8</v>
      </c>
      <c r="J48" s="2" t="n">
        <f aca="false">F48*G48*H48*I48</f>
        <v>4096</v>
      </c>
      <c r="K48" s="2" t="s">
        <v>20</v>
      </c>
      <c r="L48" s="2" t="n">
        <v>25</v>
      </c>
      <c r="M48" s="2" t="s">
        <v>26</v>
      </c>
      <c r="N48" s="2" t="s">
        <v>173</v>
      </c>
      <c r="O48" s="3" t="s">
        <v>174</v>
      </c>
      <c r="P48" s="3"/>
    </row>
    <row r="49" customFormat="false" ht="23.85" hidden="false" customHeight="false" outlineLevel="0" collapsed="false">
      <c r="A49" s="4" t="n">
        <v>48</v>
      </c>
      <c r="B49" s="4" t="s">
        <v>166</v>
      </c>
      <c r="C49" s="5" t="s">
        <v>175</v>
      </c>
      <c r="D49" s="5" t="s">
        <v>176</v>
      </c>
      <c r="E49" s="4" t="s">
        <v>19</v>
      </c>
      <c r="F49" s="4" t="n">
        <v>7</v>
      </c>
      <c r="G49" s="4" t="n">
        <v>9</v>
      </c>
      <c r="H49" s="4" t="n">
        <v>7</v>
      </c>
      <c r="I49" s="4" t="n">
        <v>8</v>
      </c>
      <c r="J49" s="4" t="n">
        <f aca="false">F49*G49*H49*I49</f>
        <v>3528</v>
      </c>
      <c r="K49" s="4" t="s">
        <v>21</v>
      </c>
      <c r="L49" s="4" t="n">
        <v>15</v>
      </c>
      <c r="M49" s="4" t="s">
        <v>26</v>
      </c>
      <c r="N49" s="4" t="s">
        <v>177</v>
      </c>
      <c r="O49" s="5" t="s">
        <v>178</v>
      </c>
      <c r="P49" s="5"/>
    </row>
    <row r="50" customFormat="false" ht="23.85" hidden="false" customHeight="false" outlineLevel="0" collapsed="false">
      <c r="A50" s="2" t="n">
        <v>49</v>
      </c>
      <c r="B50" s="2" t="s">
        <v>166</v>
      </c>
      <c r="C50" s="3" t="s">
        <v>179</v>
      </c>
      <c r="D50" s="3" t="s">
        <v>180</v>
      </c>
      <c r="E50" s="2" t="s">
        <v>31</v>
      </c>
      <c r="F50" s="2" t="n">
        <v>7</v>
      </c>
      <c r="G50" s="2" t="n">
        <v>6</v>
      </c>
      <c r="H50" s="2" t="n">
        <v>8</v>
      </c>
      <c r="I50" s="2" t="n">
        <v>8</v>
      </c>
      <c r="J50" s="2" t="n">
        <f aca="false">F50*G50*H50*I50</f>
        <v>2688</v>
      </c>
      <c r="K50" s="2" t="s">
        <v>21</v>
      </c>
      <c r="L50" s="2" t="n">
        <v>35</v>
      </c>
      <c r="M50" s="2" t="s">
        <v>26</v>
      </c>
      <c r="N50" s="2" t="s">
        <v>65</v>
      </c>
      <c r="O50" s="3" t="s">
        <v>174</v>
      </c>
      <c r="P50" s="3"/>
    </row>
    <row r="51" customFormat="false" ht="23.85" hidden="false" customHeight="false" outlineLevel="0" collapsed="false">
      <c r="A51" s="4" t="n">
        <v>50</v>
      </c>
      <c r="B51" s="4" t="s">
        <v>166</v>
      </c>
      <c r="C51" s="5" t="s">
        <v>181</v>
      </c>
      <c r="D51" s="5" t="s">
        <v>182</v>
      </c>
      <c r="E51" s="4" t="s">
        <v>31</v>
      </c>
      <c r="F51" s="4" t="n">
        <v>6</v>
      </c>
      <c r="G51" s="4" t="n">
        <v>6</v>
      </c>
      <c r="H51" s="4" t="n">
        <v>8</v>
      </c>
      <c r="I51" s="4" t="n">
        <v>8</v>
      </c>
      <c r="J51" s="4" t="n">
        <f aca="false">F51*G51*H51*I51</f>
        <v>2304</v>
      </c>
      <c r="K51" s="4" t="s">
        <v>21</v>
      </c>
      <c r="L51" s="4" t="n">
        <v>30</v>
      </c>
      <c r="M51" s="4" t="s">
        <v>26</v>
      </c>
      <c r="N51" s="4" t="s">
        <v>52</v>
      </c>
      <c r="O51" s="5" t="s">
        <v>183</v>
      </c>
      <c r="P51" s="5"/>
    </row>
    <row r="52" customFormat="false" ht="23.85" hidden="false" customHeight="false" outlineLevel="0" collapsed="false">
      <c r="A52" s="2" t="n">
        <v>51</v>
      </c>
      <c r="B52" s="2" t="s">
        <v>166</v>
      </c>
      <c r="C52" s="3" t="s">
        <v>184</v>
      </c>
      <c r="D52" s="3" t="s">
        <v>185</v>
      </c>
      <c r="E52" s="2" t="s">
        <v>31</v>
      </c>
      <c r="F52" s="2" t="n">
        <v>6</v>
      </c>
      <c r="G52" s="2" t="n">
        <v>6</v>
      </c>
      <c r="H52" s="2" t="n">
        <v>8</v>
      </c>
      <c r="I52" s="2" t="n">
        <v>8</v>
      </c>
      <c r="J52" s="2" t="n">
        <f aca="false">F52*G52*H52*I52</f>
        <v>2304</v>
      </c>
      <c r="K52" s="2" t="s">
        <v>21</v>
      </c>
      <c r="L52" s="2" t="n">
        <v>25</v>
      </c>
      <c r="M52" s="2" t="s">
        <v>26</v>
      </c>
      <c r="N52" s="2" t="s">
        <v>52</v>
      </c>
      <c r="O52" s="3" t="s">
        <v>183</v>
      </c>
      <c r="P52" s="3"/>
    </row>
    <row r="53" customFormat="false" ht="23.85" hidden="false" customHeight="false" outlineLevel="0" collapsed="false">
      <c r="A53" s="4" t="n">
        <v>52</v>
      </c>
      <c r="B53" s="4" t="s">
        <v>166</v>
      </c>
      <c r="C53" s="5" t="s">
        <v>186</v>
      </c>
      <c r="D53" s="5" t="s">
        <v>187</v>
      </c>
      <c r="E53" s="4" t="s">
        <v>19</v>
      </c>
      <c r="F53" s="4" t="n">
        <v>8</v>
      </c>
      <c r="G53" s="4" t="n">
        <v>9</v>
      </c>
      <c r="H53" s="4" t="n">
        <v>8</v>
      </c>
      <c r="I53" s="4" t="n">
        <v>6</v>
      </c>
      <c r="J53" s="4" t="n">
        <f aca="false">F53*G53*H53*I53</f>
        <v>3456</v>
      </c>
      <c r="K53" s="4" t="s">
        <v>26</v>
      </c>
      <c r="L53" s="4" t="n">
        <v>10</v>
      </c>
      <c r="M53" s="4" t="s">
        <v>21</v>
      </c>
      <c r="N53" s="4" t="s">
        <v>169</v>
      </c>
      <c r="O53" s="5" t="s">
        <v>188</v>
      </c>
      <c r="P53" s="5"/>
    </row>
    <row r="54" customFormat="false" ht="23.85" hidden="false" customHeight="false" outlineLevel="0" collapsed="false">
      <c r="A54" s="2" t="n">
        <v>53</v>
      </c>
      <c r="B54" s="2" t="s">
        <v>166</v>
      </c>
      <c r="C54" s="3" t="s">
        <v>189</v>
      </c>
      <c r="D54" s="3" t="s">
        <v>190</v>
      </c>
      <c r="E54" s="2" t="s">
        <v>19</v>
      </c>
      <c r="F54" s="2" t="n">
        <v>8</v>
      </c>
      <c r="G54" s="2" t="n">
        <v>8</v>
      </c>
      <c r="H54" s="2" t="n">
        <v>7</v>
      </c>
      <c r="I54" s="2" t="n">
        <v>7</v>
      </c>
      <c r="J54" s="2" t="n">
        <f aca="false">F54*G54*H54*I54</f>
        <v>3136</v>
      </c>
      <c r="K54" s="2" t="s">
        <v>26</v>
      </c>
      <c r="L54" s="2" t="n">
        <v>12</v>
      </c>
      <c r="M54" s="2" t="s">
        <v>21</v>
      </c>
      <c r="N54" s="2" t="s">
        <v>32</v>
      </c>
      <c r="O54" s="3" t="s">
        <v>191</v>
      </c>
      <c r="P54" s="3"/>
    </row>
    <row r="55" customFormat="false" ht="23.85" hidden="false" customHeight="false" outlineLevel="0" collapsed="false">
      <c r="A55" s="4" t="n">
        <v>54</v>
      </c>
      <c r="B55" s="4" t="s">
        <v>166</v>
      </c>
      <c r="C55" s="5" t="s">
        <v>192</v>
      </c>
      <c r="D55" s="5" t="s">
        <v>193</v>
      </c>
      <c r="E55" s="4" t="s">
        <v>19</v>
      </c>
      <c r="F55" s="4" t="n">
        <v>9</v>
      </c>
      <c r="G55" s="4" t="n">
        <v>9</v>
      </c>
      <c r="H55" s="4" t="n">
        <v>7</v>
      </c>
      <c r="I55" s="4" t="n">
        <v>6</v>
      </c>
      <c r="J55" s="4" t="n">
        <f aca="false">F55*G55*H55*I55</f>
        <v>3402</v>
      </c>
      <c r="K55" s="4" t="s">
        <v>26</v>
      </c>
      <c r="L55" s="4" t="n">
        <v>10</v>
      </c>
      <c r="M55" s="4" t="s">
        <v>21</v>
      </c>
      <c r="N55" s="4" t="s">
        <v>169</v>
      </c>
      <c r="O55" s="5" t="s">
        <v>194</v>
      </c>
      <c r="P55" s="5"/>
    </row>
    <row r="56" customFormat="false" ht="23.85" hidden="false" customHeight="false" outlineLevel="0" collapsed="false">
      <c r="A56" s="2" t="n">
        <v>55</v>
      </c>
      <c r="B56" s="2" t="s">
        <v>166</v>
      </c>
      <c r="C56" s="3" t="s">
        <v>195</v>
      </c>
      <c r="D56" s="3" t="s">
        <v>196</v>
      </c>
      <c r="E56" s="2" t="s">
        <v>19</v>
      </c>
      <c r="F56" s="2" t="n">
        <v>7</v>
      </c>
      <c r="G56" s="2" t="n">
        <v>8</v>
      </c>
      <c r="H56" s="2" t="n">
        <v>7</v>
      </c>
      <c r="I56" s="2" t="n">
        <v>8</v>
      </c>
      <c r="J56" s="2" t="n">
        <f aca="false">F56*G56*H56*I56</f>
        <v>3136</v>
      </c>
      <c r="K56" s="2" t="s">
        <v>21</v>
      </c>
      <c r="L56" s="2" t="n">
        <v>12</v>
      </c>
      <c r="M56" s="2" t="s">
        <v>26</v>
      </c>
      <c r="N56" s="2" t="s">
        <v>177</v>
      </c>
      <c r="O56" s="3" t="s">
        <v>197</v>
      </c>
      <c r="P56" s="3"/>
    </row>
    <row r="57" customFormat="false" ht="23.85" hidden="false" customHeight="false" outlineLevel="0" collapsed="false">
      <c r="A57" s="4" t="n">
        <v>56</v>
      </c>
      <c r="B57" s="4" t="s">
        <v>166</v>
      </c>
      <c r="C57" s="5" t="s">
        <v>198</v>
      </c>
      <c r="D57" s="5" t="s">
        <v>199</v>
      </c>
      <c r="E57" s="4" t="s">
        <v>19</v>
      </c>
      <c r="F57" s="4" t="n">
        <v>7</v>
      </c>
      <c r="G57" s="4" t="n">
        <v>8</v>
      </c>
      <c r="H57" s="4" t="n">
        <v>7</v>
      </c>
      <c r="I57" s="4" t="n">
        <v>6</v>
      </c>
      <c r="J57" s="4" t="n">
        <f aca="false">F57*G57*H57*I57</f>
        <v>2352</v>
      </c>
      <c r="K57" s="4" t="s">
        <v>26</v>
      </c>
      <c r="L57" s="4" t="n">
        <v>8</v>
      </c>
      <c r="M57" s="4" t="s">
        <v>26</v>
      </c>
      <c r="N57" s="4" t="s">
        <v>104</v>
      </c>
      <c r="O57" s="5" t="s">
        <v>200</v>
      </c>
      <c r="P57" s="5"/>
    </row>
    <row r="58" customFormat="false" ht="23.85" hidden="false" customHeight="false" outlineLevel="0" collapsed="false">
      <c r="A58" s="2" t="n">
        <v>57</v>
      </c>
      <c r="B58" s="2" t="s">
        <v>166</v>
      </c>
      <c r="C58" s="3" t="s">
        <v>201</v>
      </c>
      <c r="D58" s="3" t="s">
        <v>202</v>
      </c>
      <c r="E58" s="2" t="s">
        <v>31</v>
      </c>
      <c r="F58" s="2" t="n">
        <v>6</v>
      </c>
      <c r="G58" s="2" t="n">
        <v>6</v>
      </c>
      <c r="H58" s="2" t="n">
        <v>7</v>
      </c>
      <c r="I58" s="2" t="n">
        <v>7</v>
      </c>
      <c r="J58" s="2" t="n">
        <f aca="false">F58*G58*H58*I58</f>
        <v>1764</v>
      </c>
      <c r="K58" s="2" t="s">
        <v>26</v>
      </c>
      <c r="L58" s="2" t="n">
        <v>15</v>
      </c>
      <c r="M58" s="2" t="s">
        <v>26</v>
      </c>
      <c r="N58" s="2" t="s">
        <v>52</v>
      </c>
      <c r="O58" s="3" t="s">
        <v>203</v>
      </c>
      <c r="P58" s="3"/>
    </row>
    <row r="59" customFormat="false" ht="23.85" hidden="false" customHeight="false" outlineLevel="0" collapsed="false">
      <c r="A59" s="4" t="n">
        <v>58</v>
      </c>
      <c r="B59" s="4" t="s">
        <v>166</v>
      </c>
      <c r="C59" s="5" t="s">
        <v>204</v>
      </c>
      <c r="D59" s="5" t="s">
        <v>205</v>
      </c>
      <c r="E59" s="4" t="s">
        <v>19</v>
      </c>
      <c r="F59" s="4" t="n">
        <v>8</v>
      </c>
      <c r="G59" s="4" t="n">
        <v>7</v>
      </c>
      <c r="H59" s="4" t="n">
        <v>7</v>
      </c>
      <c r="I59" s="4" t="n">
        <v>6</v>
      </c>
      <c r="J59" s="4" t="n">
        <f aca="false">F59*G59*H59*I59</f>
        <v>2352</v>
      </c>
      <c r="K59" s="4" t="s">
        <v>26</v>
      </c>
      <c r="L59" s="4" t="n">
        <v>12</v>
      </c>
      <c r="M59" s="4" t="s">
        <v>21</v>
      </c>
      <c r="N59" s="4" t="s">
        <v>32</v>
      </c>
      <c r="O59" s="5" t="s">
        <v>206</v>
      </c>
      <c r="P59" s="5"/>
    </row>
    <row r="60" customFormat="false" ht="23.85" hidden="false" customHeight="false" outlineLevel="0" collapsed="false">
      <c r="A60" s="2" t="n">
        <v>59</v>
      </c>
      <c r="B60" s="2" t="s">
        <v>166</v>
      </c>
      <c r="C60" s="3" t="s">
        <v>207</v>
      </c>
      <c r="D60" s="3" t="s">
        <v>208</v>
      </c>
      <c r="E60" s="2" t="s">
        <v>19</v>
      </c>
      <c r="F60" s="2" t="n">
        <v>8</v>
      </c>
      <c r="G60" s="2" t="n">
        <v>8</v>
      </c>
      <c r="H60" s="2" t="n">
        <v>7</v>
      </c>
      <c r="I60" s="2" t="n">
        <v>6</v>
      </c>
      <c r="J60" s="2" t="n">
        <f aca="false">F60*G60*H60*I60</f>
        <v>2688</v>
      </c>
      <c r="K60" s="2" t="s">
        <v>26</v>
      </c>
      <c r="L60" s="2" t="n">
        <v>6</v>
      </c>
      <c r="M60" s="2" t="s">
        <v>21</v>
      </c>
      <c r="N60" s="2" t="s">
        <v>169</v>
      </c>
      <c r="O60" s="3" t="s">
        <v>178</v>
      </c>
      <c r="P60" s="3"/>
    </row>
    <row r="61" customFormat="false" ht="35.05" hidden="false" customHeight="false" outlineLevel="0" collapsed="false">
      <c r="A61" s="4" t="n">
        <v>60</v>
      </c>
      <c r="B61" s="4" t="s">
        <v>166</v>
      </c>
      <c r="C61" s="5" t="s">
        <v>209</v>
      </c>
      <c r="D61" s="5" t="s">
        <v>210</v>
      </c>
      <c r="E61" s="4" t="s">
        <v>19</v>
      </c>
      <c r="F61" s="4" t="n">
        <v>8</v>
      </c>
      <c r="G61" s="4" t="n">
        <v>8</v>
      </c>
      <c r="H61" s="4" t="n">
        <v>7</v>
      </c>
      <c r="I61" s="4" t="n">
        <v>6</v>
      </c>
      <c r="J61" s="4" t="n">
        <f aca="false">F61*G61*H61*I61</f>
        <v>2688</v>
      </c>
      <c r="K61" s="4" t="s">
        <v>26</v>
      </c>
      <c r="L61" s="4" t="n">
        <v>8</v>
      </c>
      <c r="M61" s="4" t="s">
        <v>21</v>
      </c>
      <c r="N61" s="4" t="s">
        <v>71</v>
      </c>
      <c r="O61" s="5" t="s">
        <v>211</v>
      </c>
      <c r="P61" s="5"/>
    </row>
    <row r="62" customFormat="false" ht="23.85" hidden="false" customHeight="false" outlineLevel="0" collapsed="false">
      <c r="A62" s="2" t="n">
        <v>61</v>
      </c>
      <c r="B62" s="2" t="s">
        <v>166</v>
      </c>
      <c r="C62" s="3" t="s">
        <v>212</v>
      </c>
      <c r="D62" s="3" t="s">
        <v>213</v>
      </c>
      <c r="E62" s="2" t="s">
        <v>19</v>
      </c>
      <c r="F62" s="2" t="n">
        <v>6</v>
      </c>
      <c r="G62" s="2" t="n">
        <v>8</v>
      </c>
      <c r="H62" s="2" t="n">
        <v>6</v>
      </c>
      <c r="I62" s="2" t="n">
        <v>8</v>
      </c>
      <c r="J62" s="2" t="n">
        <f aca="false">F62*G62*H62*I62</f>
        <v>2304</v>
      </c>
      <c r="K62" s="2" t="s">
        <v>26</v>
      </c>
      <c r="L62" s="2" t="n">
        <v>7</v>
      </c>
      <c r="M62" s="2" t="s">
        <v>26</v>
      </c>
      <c r="N62" s="2" t="s">
        <v>177</v>
      </c>
      <c r="O62" s="3" t="s">
        <v>214</v>
      </c>
      <c r="P62" s="3"/>
    </row>
    <row r="63" customFormat="false" ht="23.85" hidden="false" customHeight="false" outlineLevel="0" collapsed="false">
      <c r="A63" s="4" t="n">
        <v>62</v>
      </c>
      <c r="B63" s="4" t="s">
        <v>166</v>
      </c>
      <c r="C63" s="5" t="s">
        <v>215</v>
      </c>
      <c r="D63" s="5" t="s">
        <v>216</v>
      </c>
      <c r="E63" s="4" t="s">
        <v>19</v>
      </c>
      <c r="F63" s="4" t="n">
        <v>6</v>
      </c>
      <c r="G63" s="4" t="n">
        <v>7</v>
      </c>
      <c r="H63" s="4" t="n">
        <v>7</v>
      </c>
      <c r="I63" s="4" t="n">
        <v>8</v>
      </c>
      <c r="J63" s="4" t="n">
        <f aca="false">F63*G63*H63*I63</f>
        <v>2352</v>
      </c>
      <c r="K63" s="4" t="s">
        <v>26</v>
      </c>
      <c r="L63" s="4" t="n">
        <v>5</v>
      </c>
      <c r="M63" s="4" t="s">
        <v>26</v>
      </c>
      <c r="N63" s="4" t="s">
        <v>52</v>
      </c>
      <c r="O63" s="5" t="s">
        <v>217</v>
      </c>
      <c r="P63" s="5"/>
    </row>
    <row r="64" customFormat="false" ht="23.85" hidden="false" customHeight="false" outlineLevel="0" collapsed="false">
      <c r="A64" s="2" t="n">
        <v>63</v>
      </c>
      <c r="B64" s="2" t="s">
        <v>166</v>
      </c>
      <c r="C64" s="3" t="s">
        <v>218</v>
      </c>
      <c r="D64" s="3" t="s">
        <v>219</v>
      </c>
      <c r="E64" s="2" t="s">
        <v>31</v>
      </c>
      <c r="F64" s="2" t="n">
        <v>6</v>
      </c>
      <c r="G64" s="2" t="n">
        <v>6</v>
      </c>
      <c r="H64" s="2" t="n">
        <v>7</v>
      </c>
      <c r="I64" s="2" t="n">
        <v>7</v>
      </c>
      <c r="J64" s="2" t="n">
        <f aca="false">F64*G64*H64*I64</f>
        <v>1764</v>
      </c>
      <c r="K64" s="2" t="s">
        <v>41</v>
      </c>
      <c r="L64" s="2" t="n">
        <v>8</v>
      </c>
      <c r="M64" s="2" t="s">
        <v>26</v>
      </c>
      <c r="N64" s="2" t="s">
        <v>32</v>
      </c>
      <c r="O64" s="3" t="s">
        <v>191</v>
      </c>
      <c r="P64" s="3"/>
    </row>
    <row r="65" customFormat="false" ht="23.85" hidden="false" customHeight="false" outlineLevel="0" collapsed="false">
      <c r="A65" s="4" t="n">
        <v>64</v>
      </c>
      <c r="B65" s="4" t="s">
        <v>166</v>
      </c>
      <c r="C65" s="5" t="s">
        <v>220</v>
      </c>
      <c r="D65" s="5" t="s">
        <v>221</v>
      </c>
      <c r="E65" s="4" t="s">
        <v>19</v>
      </c>
      <c r="F65" s="4" t="n">
        <v>8</v>
      </c>
      <c r="G65" s="4" t="n">
        <v>7</v>
      </c>
      <c r="H65" s="4" t="n">
        <v>6</v>
      </c>
      <c r="I65" s="4" t="n">
        <v>5</v>
      </c>
      <c r="J65" s="4" t="n">
        <f aca="false">F65*G65*H65*I65</f>
        <v>1680</v>
      </c>
      <c r="K65" s="4" t="s">
        <v>41</v>
      </c>
      <c r="L65" s="4" t="n">
        <v>10</v>
      </c>
      <c r="M65" s="4" t="s">
        <v>26</v>
      </c>
      <c r="N65" s="4" t="s">
        <v>32</v>
      </c>
      <c r="O65" s="5" t="s">
        <v>222</v>
      </c>
      <c r="P65" s="5"/>
    </row>
    <row r="66" customFormat="false" ht="23.85" hidden="false" customHeight="false" outlineLevel="0" collapsed="false">
      <c r="A66" s="2" t="n">
        <v>65</v>
      </c>
      <c r="B66" s="2" t="s">
        <v>166</v>
      </c>
      <c r="C66" s="3" t="s">
        <v>223</v>
      </c>
      <c r="D66" s="3" t="s">
        <v>224</v>
      </c>
      <c r="E66" s="2" t="s">
        <v>19</v>
      </c>
      <c r="F66" s="2" t="n">
        <v>6</v>
      </c>
      <c r="G66" s="2" t="n">
        <v>9</v>
      </c>
      <c r="H66" s="2" t="n">
        <v>7</v>
      </c>
      <c r="I66" s="2" t="n">
        <v>7</v>
      </c>
      <c r="J66" s="2" t="n">
        <f aca="false">F66*G66*H66*I66</f>
        <v>2646</v>
      </c>
      <c r="K66" s="2" t="s">
        <v>21</v>
      </c>
      <c r="L66" s="2" t="n">
        <v>8</v>
      </c>
      <c r="M66" s="2" t="s">
        <v>26</v>
      </c>
      <c r="N66" s="2" t="s">
        <v>177</v>
      </c>
      <c r="O66" s="3" t="s">
        <v>200</v>
      </c>
      <c r="P66" s="3"/>
    </row>
    <row r="67" customFormat="false" ht="23.85" hidden="false" customHeight="false" outlineLevel="0" collapsed="false">
      <c r="A67" s="4" t="n">
        <v>66</v>
      </c>
      <c r="B67" s="4" t="s">
        <v>225</v>
      </c>
      <c r="C67" s="5" t="s">
        <v>226</v>
      </c>
      <c r="D67" s="5" t="s">
        <v>227</v>
      </c>
      <c r="E67" s="4" t="s">
        <v>31</v>
      </c>
      <c r="F67" s="4" t="n">
        <v>6</v>
      </c>
      <c r="G67" s="4" t="n">
        <v>5</v>
      </c>
      <c r="H67" s="4" t="n">
        <v>8</v>
      </c>
      <c r="I67" s="4" t="n">
        <v>8</v>
      </c>
      <c r="J67" s="4" t="n">
        <f aca="false">F67*G67*H67*I67</f>
        <v>1920</v>
      </c>
      <c r="K67" s="4" t="s">
        <v>20</v>
      </c>
      <c r="L67" s="4" t="n">
        <v>50</v>
      </c>
      <c r="M67" s="4" t="s">
        <v>41</v>
      </c>
      <c r="N67" s="4" t="s">
        <v>52</v>
      </c>
      <c r="O67" s="5" t="s">
        <v>228</v>
      </c>
      <c r="P67" s="5"/>
    </row>
    <row r="68" customFormat="false" ht="23.85" hidden="false" customHeight="false" outlineLevel="0" collapsed="false">
      <c r="A68" s="2" t="n">
        <v>67</v>
      </c>
      <c r="B68" s="2" t="s">
        <v>225</v>
      </c>
      <c r="C68" s="3" t="s">
        <v>229</v>
      </c>
      <c r="D68" s="3" t="s">
        <v>230</v>
      </c>
      <c r="E68" s="2" t="s">
        <v>40</v>
      </c>
      <c r="F68" s="2" t="n">
        <v>5</v>
      </c>
      <c r="G68" s="2" t="n">
        <v>4</v>
      </c>
      <c r="H68" s="2" t="n">
        <v>7</v>
      </c>
      <c r="I68" s="2" t="n">
        <v>9</v>
      </c>
      <c r="J68" s="2" t="n">
        <f aca="false">F68*G68*H68*I68</f>
        <v>1260</v>
      </c>
      <c r="K68" s="2" t="s">
        <v>21</v>
      </c>
      <c r="L68" s="2" t="n">
        <v>30</v>
      </c>
      <c r="M68" s="2" t="s">
        <v>41</v>
      </c>
      <c r="N68" s="2" t="s">
        <v>177</v>
      </c>
      <c r="O68" s="3" t="s">
        <v>231</v>
      </c>
      <c r="P68" s="3"/>
    </row>
    <row r="69" customFormat="false" ht="23.85" hidden="false" customHeight="false" outlineLevel="0" collapsed="false">
      <c r="A69" s="4" t="n">
        <v>68</v>
      </c>
      <c r="B69" s="4" t="s">
        <v>225</v>
      </c>
      <c r="C69" s="5" t="s">
        <v>232</v>
      </c>
      <c r="D69" s="5" t="s">
        <v>233</v>
      </c>
      <c r="E69" s="4" t="s">
        <v>31</v>
      </c>
      <c r="F69" s="4" t="n">
        <v>7</v>
      </c>
      <c r="G69" s="4" t="n">
        <v>6</v>
      </c>
      <c r="H69" s="4" t="n">
        <v>8</v>
      </c>
      <c r="I69" s="4" t="n">
        <v>8</v>
      </c>
      <c r="J69" s="4" t="n">
        <f aca="false">F69*G69*H69*I69</f>
        <v>2688</v>
      </c>
      <c r="K69" s="4" t="s">
        <v>21</v>
      </c>
      <c r="L69" s="4" t="n">
        <v>25</v>
      </c>
      <c r="M69" s="4" t="s">
        <v>26</v>
      </c>
      <c r="N69" s="4" t="s">
        <v>65</v>
      </c>
      <c r="O69" s="5" t="s">
        <v>234</v>
      </c>
      <c r="P69" s="5"/>
    </row>
    <row r="70" customFormat="false" ht="23.85" hidden="false" customHeight="false" outlineLevel="0" collapsed="false">
      <c r="A70" s="2" t="n">
        <v>69</v>
      </c>
      <c r="B70" s="2" t="s">
        <v>225</v>
      </c>
      <c r="C70" s="3" t="s">
        <v>235</v>
      </c>
      <c r="D70" s="3" t="s">
        <v>236</v>
      </c>
      <c r="E70" s="2" t="s">
        <v>19</v>
      </c>
      <c r="F70" s="2" t="n">
        <v>7</v>
      </c>
      <c r="G70" s="2" t="n">
        <v>8</v>
      </c>
      <c r="H70" s="2" t="n">
        <v>7</v>
      </c>
      <c r="I70" s="2" t="n">
        <v>7</v>
      </c>
      <c r="J70" s="2" t="n">
        <f aca="false">F70*G70*H70*I70</f>
        <v>2744</v>
      </c>
      <c r="K70" s="2" t="s">
        <v>26</v>
      </c>
      <c r="L70" s="2" t="n">
        <v>10</v>
      </c>
      <c r="M70" s="2" t="s">
        <v>26</v>
      </c>
      <c r="N70" s="2" t="s">
        <v>104</v>
      </c>
      <c r="O70" s="3" t="s">
        <v>237</v>
      </c>
      <c r="P70" s="3"/>
    </row>
    <row r="71" customFormat="false" ht="35.05" hidden="false" customHeight="false" outlineLevel="0" collapsed="false">
      <c r="A71" s="4" t="n">
        <v>70</v>
      </c>
      <c r="B71" s="4" t="s">
        <v>225</v>
      </c>
      <c r="C71" s="5" t="s">
        <v>238</v>
      </c>
      <c r="D71" s="5" t="s">
        <v>239</v>
      </c>
      <c r="E71" s="4" t="s">
        <v>19</v>
      </c>
      <c r="F71" s="4" t="n">
        <v>7</v>
      </c>
      <c r="G71" s="4" t="n">
        <v>7</v>
      </c>
      <c r="H71" s="4" t="n">
        <v>7</v>
      </c>
      <c r="I71" s="4" t="n">
        <v>7</v>
      </c>
      <c r="J71" s="4" t="n">
        <f aca="false">F71*G71*H71*I71</f>
        <v>2401</v>
      </c>
      <c r="K71" s="4" t="s">
        <v>26</v>
      </c>
      <c r="L71" s="4" t="n">
        <v>8</v>
      </c>
      <c r="M71" s="4" t="s">
        <v>26</v>
      </c>
      <c r="N71" s="4" t="s">
        <v>71</v>
      </c>
      <c r="O71" s="5" t="s">
        <v>234</v>
      </c>
      <c r="P71" s="5"/>
    </row>
    <row r="72" customFormat="false" ht="23.85" hidden="false" customHeight="false" outlineLevel="0" collapsed="false">
      <c r="A72" s="2" t="n">
        <v>71</v>
      </c>
      <c r="B72" s="2" t="s">
        <v>225</v>
      </c>
      <c r="C72" s="3" t="s">
        <v>240</v>
      </c>
      <c r="D72" s="3" t="s">
        <v>241</v>
      </c>
      <c r="E72" s="2" t="s">
        <v>19</v>
      </c>
      <c r="F72" s="2" t="n">
        <v>7</v>
      </c>
      <c r="G72" s="2" t="n">
        <v>7</v>
      </c>
      <c r="H72" s="2" t="n">
        <v>7</v>
      </c>
      <c r="I72" s="2" t="n">
        <v>7</v>
      </c>
      <c r="J72" s="2" t="n">
        <f aca="false">F72*G72*H72*I72</f>
        <v>2401</v>
      </c>
      <c r="K72" s="2" t="s">
        <v>26</v>
      </c>
      <c r="L72" s="2" t="n">
        <v>8</v>
      </c>
      <c r="M72" s="2" t="s">
        <v>26</v>
      </c>
      <c r="N72" s="2" t="s">
        <v>111</v>
      </c>
      <c r="O72" s="3" t="s">
        <v>174</v>
      </c>
      <c r="P72" s="3"/>
    </row>
    <row r="73" customFormat="false" ht="23.85" hidden="false" customHeight="false" outlineLevel="0" collapsed="false">
      <c r="A73" s="4" t="n">
        <v>72</v>
      </c>
      <c r="B73" s="4" t="s">
        <v>225</v>
      </c>
      <c r="C73" s="5" t="s">
        <v>242</v>
      </c>
      <c r="D73" s="5" t="s">
        <v>243</v>
      </c>
      <c r="E73" s="4" t="s">
        <v>19</v>
      </c>
      <c r="F73" s="4" t="n">
        <v>7</v>
      </c>
      <c r="G73" s="4" t="n">
        <v>8</v>
      </c>
      <c r="H73" s="4" t="n">
        <v>7</v>
      </c>
      <c r="I73" s="4" t="n">
        <v>6</v>
      </c>
      <c r="J73" s="4" t="n">
        <f aca="false">F73*G73*H73*I73</f>
        <v>2352</v>
      </c>
      <c r="K73" s="4" t="s">
        <v>26</v>
      </c>
      <c r="L73" s="4" t="n">
        <v>6</v>
      </c>
      <c r="M73" s="4" t="s">
        <v>26</v>
      </c>
      <c r="N73" s="4" t="s">
        <v>104</v>
      </c>
      <c r="O73" s="5" t="s">
        <v>228</v>
      </c>
      <c r="P73" s="5"/>
    </row>
    <row r="74" customFormat="false" ht="23.85" hidden="false" customHeight="false" outlineLevel="0" collapsed="false">
      <c r="A74" s="2" t="n">
        <v>73</v>
      </c>
      <c r="B74" s="2" t="s">
        <v>244</v>
      </c>
      <c r="C74" s="3" t="s">
        <v>245</v>
      </c>
      <c r="D74" s="3" t="s">
        <v>246</v>
      </c>
      <c r="E74" s="2" t="s">
        <v>19</v>
      </c>
      <c r="F74" s="2" t="n">
        <v>9</v>
      </c>
      <c r="G74" s="2" t="n">
        <v>9</v>
      </c>
      <c r="H74" s="2" t="n">
        <v>8</v>
      </c>
      <c r="I74" s="2" t="n">
        <v>6</v>
      </c>
      <c r="J74" s="2" t="n">
        <f aca="false">F74*G74*H74*I74</f>
        <v>3888</v>
      </c>
      <c r="K74" s="2" t="s">
        <v>20</v>
      </c>
      <c r="L74" s="2" t="n">
        <v>30</v>
      </c>
      <c r="M74" s="2" t="s">
        <v>21</v>
      </c>
      <c r="N74" s="2" t="s">
        <v>247</v>
      </c>
      <c r="O74" s="3" t="s">
        <v>248</v>
      </c>
      <c r="P74" s="3"/>
    </row>
    <row r="75" customFormat="false" ht="23.85" hidden="false" customHeight="false" outlineLevel="0" collapsed="false">
      <c r="A75" s="4" t="n">
        <v>74</v>
      </c>
      <c r="B75" s="4" t="s">
        <v>244</v>
      </c>
      <c r="C75" s="5" t="s">
        <v>249</v>
      </c>
      <c r="D75" s="5" t="s">
        <v>250</v>
      </c>
      <c r="E75" s="4" t="s">
        <v>19</v>
      </c>
      <c r="F75" s="4" t="n">
        <v>8</v>
      </c>
      <c r="G75" s="4" t="n">
        <v>9</v>
      </c>
      <c r="H75" s="4" t="n">
        <v>8</v>
      </c>
      <c r="I75" s="4" t="n">
        <v>7</v>
      </c>
      <c r="J75" s="4" t="n">
        <f aca="false">F75*G75*H75*I75</f>
        <v>4032</v>
      </c>
      <c r="K75" s="4" t="s">
        <v>20</v>
      </c>
      <c r="L75" s="4" t="n">
        <v>40</v>
      </c>
      <c r="M75" s="4" t="s">
        <v>21</v>
      </c>
      <c r="N75" s="4" t="s">
        <v>251</v>
      </c>
      <c r="O75" s="5" t="s">
        <v>252</v>
      </c>
      <c r="P75" s="5"/>
    </row>
    <row r="76" customFormat="false" ht="23.85" hidden="false" customHeight="false" outlineLevel="0" collapsed="false">
      <c r="A76" s="2" t="n">
        <v>75</v>
      </c>
      <c r="B76" s="2" t="s">
        <v>244</v>
      </c>
      <c r="C76" s="3" t="s">
        <v>253</v>
      </c>
      <c r="D76" s="3" t="s">
        <v>254</v>
      </c>
      <c r="E76" s="2" t="s">
        <v>19</v>
      </c>
      <c r="F76" s="2" t="n">
        <v>8</v>
      </c>
      <c r="G76" s="2" t="n">
        <v>8</v>
      </c>
      <c r="H76" s="2" t="n">
        <v>8</v>
      </c>
      <c r="I76" s="2" t="n">
        <v>6</v>
      </c>
      <c r="J76" s="2" t="n">
        <f aca="false">F76*G76*H76*I76</f>
        <v>3072</v>
      </c>
      <c r="K76" s="2" t="s">
        <v>20</v>
      </c>
      <c r="L76" s="2" t="n">
        <v>25</v>
      </c>
      <c r="M76" s="2" t="s">
        <v>21</v>
      </c>
      <c r="N76" s="2" t="s">
        <v>255</v>
      </c>
      <c r="O76" s="3" t="s">
        <v>256</v>
      </c>
      <c r="P76" s="3"/>
    </row>
    <row r="77" customFormat="false" ht="23.85" hidden="false" customHeight="false" outlineLevel="0" collapsed="false">
      <c r="A77" s="4" t="n">
        <v>76</v>
      </c>
      <c r="B77" s="4" t="s">
        <v>244</v>
      </c>
      <c r="C77" s="5" t="s">
        <v>257</v>
      </c>
      <c r="D77" s="5" t="s">
        <v>258</v>
      </c>
      <c r="E77" s="4" t="s">
        <v>19</v>
      </c>
      <c r="F77" s="4" t="n">
        <v>5</v>
      </c>
      <c r="G77" s="4" t="n">
        <v>7</v>
      </c>
      <c r="H77" s="4" t="n">
        <v>7</v>
      </c>
      <c r="I77" s="4" t="n">
        <v>9</v>
      </c>
      <c r="J77" s="4" t="n">
        <f aca="false">F77*G77*H77*I77</f>
        <v>2205</v>
      </c>
      <c r="K77" s="4" t="s">
        <v>20</v>
      </c>
      <c r="L77" s="4" t="n">
        <v>20</v>
      </c>
      <c r="M77" s="4" t="s">
        <v>26</v>
      </c>
      <c r="N77" s="4" t="s">
        <v>259</v>
      </c>
      <c r="O77" s="5" t="s">
        <v>260</v>
      </c>
      <c r="P77" s="5"/>
    </row>
    <row r="78" customFormat="false" ht="23.85" hidden="false" customHeight="false" outlineLevel="0" collapsed="false">
      <c r="A78" s="2" t="n">
        <v>77</v>
      </c>
      <c r="B78" s="2" t="s">
        <v>244</v>
      </c>
      <c r="C78" s="3" t="s">
        <v>261</v>
      </c>
      <c r="D78" s="3" t="s">
        <v>262</v>
      </c>
      <c r="E78" s="2" t="s">
        <v>19</v>
      </c>
      <c r="F78" s="2" t="n">
        <v>7</v>
      </c>
      <c r="G78" s="2" t="n">
        <v>8</v>
      </c>
      <c r="H78" s="2" t="n">
        <v>7</v>
      </c>
      <c r="I78" s="2" t="n">
        <v>7</v>
      </c>
      <c r="J78" s="2" t="n">
        <f aca="false">F78*G78*H78*I78</f>
        <v>2744</v>
      </c>
      <c r="K78" s="2" t="s">
        <v>21</v>
      </c>
      <c r="L78" s="2" t="n">
        <v>12</v>
      </c>
      <c r="M78" s="2" t="s">
        <v>26</v>
      </c>
      <c r="N78" s="2" t="s">
        <v>247</v>
      </c>
      <c r="O78" s="3" t="s">
        <v>263</v>
      </c>
      <c r="P78" s="3"/>
    </row>
    <row r="79" customFormat="false" ht="23.85" hidden="false" customHeight="false" outlineLevel="0" collapsed="false">
      <c r="A79" s="4" t="n">
        <v>78</v>
      </c>
      <c r="B79" s="4" t="s">
        <v>244</v>
      </c>
      <c r="C79" s="5" t="s">
        <v>264</v>
      </c>
      <c r="D79" s="5" t="s">
        <v>265</v>
      </c>
      <c r="E79" s="4" t="s">
        <v>19</v>
      </c>
      <c r="F79" s="4" t="n">
        <v>8</v>
      </c>
      <c r="G79" s="4" t="n">
        <v>9</v>
      </c>
      <c r="H79" s="4" t="n">
        <v>7</v>
      </c>
      <c r="I79" s="4" t="n">
        <v>6</v>
      </c>
      <c r="J79" s="4" t="n">
        <f aca="false">F79*G79*H79*I79</f>
        <v>3024</v>
      </c>
      <c r="K79" s="4" t="s">
        <v>26</v>
      </c>
      <c r="L79" s="4" t="n">
        <v>15</v>
      </c>
      <c r="M79" s="4" t="s">
        <v>21</v>
      </c>
      <c r="N79" s="4" t="s">
        <v>247</v>
      </c>
      <c r="O79" s="5" t="s">
        <v>266</v>
      </c>
      <c r="P79" s="5"/>
    </row>
    <row r="80" customFormat="false" ht="23.85" hidden="false" customHeight="false" outlineLevel="0" collapsed="false">
      <c r="A80" s="2" t="n">
        <v>79</v>
      </c>
      <c r="B80" s="2" t="s">
        <v>244</v>
      </c>
      <c r="C80" s="3" t="s">
        <v>267</v>
      </c>
      <c r="D80" s="3" t="s">
        <v>268</v>
      </c>
      <c r="E80" s="2" t="s">
        <v>19</v>
      </c>
      <c r="F80" s="2" t="n">
        <v>7</v>
      </c>
      <c r="G80" s="2" t="n">
        <v>7</v>
      </c>
      <c r="H80" s="2" t="n">
        <v>7</v>
      </c>
      <c r="I80" s="2" t="n">
        <v>7</v>
      </c>
      <c r="J80" s="2" t="n">
        <f aca="false">F80*G80*H80*I80</f>
        <v>2401</v>
      </c>
      <c r="K80" s="2" t="s">
        <v>26</v>
      </c>
      <c r="L80" s="2" t="n">
        <v>6</v>
      </c>
      <c r="M80" s="2" t="s">
        <v>26</v>
      </c>
      <c r="N80" s="2" t="s">
        <v>247</v>
      </c>
      <c r="O80" s="3" t="s">
        <v>248</v>
      </c>
      <c r="P80" s="3"/>
    </row>
    <row r="81" customFormat="false" ht="23.85" hidden="false" customHeight="false" outlineLevel="0" collapsed="false">
      <c r="A81" s="4" t="n">
        <v>80</v>
      </c>
      <c r="B81" s="4" t="s">
        <v>244</v>
      </c>
      <c r="C81" s="5" t="s">
        <v>269</v>
      </c>
      <c r="D81" s="5" t="s">
        <v>270</v>
      </c>
      <c r="E81" s="4" t="s">
        <v>19</v>
      </c>
      <c r="F81" s="4" t="n">
        <v>6</v>
      </c>
      <c r="G81" s="4" t="n">
        <v>8</v>
      </c>
      <c r="H81" s="4" t="n">
        <v>7</v>
      </c>
      <c r="I81" s="4" t="n">
        <v>8</v>
      </c>
      <c r="J81" s="4" t="n">
        <f aca="false">F81*G81*H81*I81</f>
        <v>2688</v>
      </c>
      <c r="K81" s="4" t="s">
        <v>21</v>
      </c>
      <c r="L81" s="4" t="n">
        <v>8</v>
      </c>
      <c r="M81" s="4" t="s">
        <v>26</v>
      </c>
      <c r="N81" s="4" t="s">
        <v>177</v>
      </c>
      <c r="O81" s="5" t="s">
        <v>271</v>
      </c>
      <c r="P81" s="5"/>
    </row>
    <row r="82" customFormat="false" ht="23.85" hidden="false" customHeight="false" outlineLevel="0" collapsed="false">
      <c r="A82" s="2" t="n">
        <v>81</v>
      </c>
      <c r="B82" s="2" t="s">
        <v>244</v>
      </c>
      <c r="C82" s="3" t="s">
        <v>272</v>
      </c>
      <c r="D82" s="3" t="s">
        <v>273</v>
      </c>
      <c r="E82" s="2" t="s">
        <v>19</v>
      </c>
      <c r="F82" s="2" t="n">
        <v>7</v>
      </c>
      <c r="G82" s="2" t="n">
        <v>8</v>
      </c>
      <c r="H82" s="2" t="n">
        <v>7</v>
      </c>
      <c r="I82" s="2" t="n">
        <v>6</v>
      </c>
      <c r="J82" s="2" t="n">
        <f aca="false">F82*G82*H82*I82</f>
        <v>2352</v>
      </c>
      <c r="K82" s="2" t="s">
        <v>26</v>
      </c>
      <c r="L82" s="2" t="n">
        <v>5</v>
      </c>
      <c r="M82" s="2" t="s">
        <v>26</v>
      </c>
      <c r="N82" s="2" t="s">
        <v>247</v>
      </c>
      <c r="O82" s="3" t="s">
        <v>274</v>
      </c>
      <c r="P82" s="3"/>
    </row>
    <row r="83" customFormat="false" ht="23.85" hidden="false" customHeight="false" outlineLevel="0" collapsed="false">
      <c r="A83" s="4" t="n">
        <v>82</v>
      </c>
      <c r="B83" s="4" t="s">
        <v>244</v>
      </c>
      <c r="C83" s="5" t="s">
        <v>275</v>
      </c>
      <c r="D83" s="5" t="s">
        <v>276</v>
      </c>
      <c r="E83" s="4" t="s">
        <v>19</v>
      </c>
      <c r="F83" s="4" t="n">
        <v>8</v>
      </c>
      <c r="G83" s="4" t="n">
        <v>9</v>
      </c>
      <c r="H83" s="4" t="n">
        <v>7</v>
      </c>
      <c r="I83" s="4" t="n">
        <v>6</v>
      </c>
      <c r="J83" s="4" t="n">
        <f aca="false">F83*G83*H83*I83</f>
        <v>3024</v>
      </c>
      <c r="K83" s="4" t="s">
        <v>21</v>
      </c>
      <c r="L83" s="4" t="n">
        <v>10</v>
      </c>
      <c r="M83" s="4" t="s">
        <v>21</v>
      </c>
      <c r="N83" s="4" t="s">
        <v>277</v>
      </c>
      <c r="O83" s="5" t="s">
        <v>278</v>
      </c>
      <c r="P83" s="5"/>
    </row>
    <row r="84" customFormat="false" ht="23.85" hidden="false" customHeight="false" outlineLevel="0" collapsed="false">
      <c r="A84" s="2" t="n">
        <v>83</v>
      </c>
      <c r="B84" s="2" t="s">
        <v>244</v>
      </c>
      <c r="C84" s="3" t="s">
        <v>279</v>
      </c>
      <c r="D84" s="3" t="s">
        <v>280</v>
      </c>
      <c r="E84" s="2" t="s">
        <v>19</v>
      </c>
      <c r="F84" s="2" t="n">
        <v>7</v>
      </c>
      <c r="G84" s="2" t="n">
        <v>8</v>
      </c>
      <c r="H84" s="2" t="n">
        <v>7</v>
      </c>
      <c r="I84" s="2" t="n">
        <v>6</v>
      </c>
      <c r="J84" s="2" t="n">
        <f aca="false">F84*G84*H84*I84</f>
        <v>2352</v>
      </c>
      <c r="K84" s="2" t="s">
        <v>41</v>
      </c>
      <c r="L84" s="2" t="n">
        <v>4</v>
      </c>
      <c r="M84" s="2" t="s">
        <v>21</v>
      </c>
      <c r="N84" s="2" t="s">
        <v>247</v>
      </c>
      <c r="O84" s="3" t="s">
        <v>281</v>
      </c>
      <c r="P84" s="3"/>
    </row>
    <row r="85" customFormat="false" ht="23.85" hidden="false" customHeight="false" outlineLevel="0" collapsed="false">
      <c r="A85" s="4" t="n">
        <v>84</v>
      </c>
      <c r="B85" s="4" t="s">
        <v>244</v>
      </c>
      <c r="C85" s="5" t="s">
        <v>282</v>
      </c>
      <c r="D85" s="5" t="s">
        <v>283</v>
      </c>
      <c r="E85" s="4" t="s">
        <v>31</v>
      </c>
      <c r="F85" s="4" t="n">
        <v>5</v>
      </c>
      <c r="G85" s="4" t="n">
        <v>6</v>
      </c>
      <c r="H85" s="4" t="n">
        <v>7</v>
      </c>
      <c r="I85" s="4" t="n">
        <v>8</v>
      </c>
      <c r="J85" s="4" t="n">
        <f aca="false">F85*G85*H85*I85</f>
        <v>1680</v>
      </c>
      <c r="K85" s="4" t="s">
        <v>21</v>
      </c>
      <c r="L85" s="4" t="n">
        <v>8</v>
      </c>
      <c r="M85" s="4" t="s">
        <v>26</v>
      </c>
      <c r="N85" s="4" t="s">
        <v>284</v>
      </c>
      <c r="O85" s="5" t="s">
        <v>285</v>
      </c>
      <c r="P85" s="5"/>
    </row>
    <row r="86" customFormat="false" ht="23.85" hidden="false" customHeight="false" outlineLevel="0" collapsed="false">
      <c r="A86" s="2" t="n">
        <v>85</v>
      </c>
      <c r="B86" s="2" t="s">
        <v>244</v>
      </c>
      <c r="C86" s="3" t="s">
        <v>286</v>
      </c>
      <c r="D86" s="3" t="s">
        <v>287</v>
      </c>
      <c r="E86" s="2" t="s">
        <v>19</v>
      </c>
      <c r="F86" s="2" t="n">
        <v>8</v>
      </c>
      <c r="G86" s="2" t="n">
        <v>8</v>
      </c>
      <c r="H86" s="2" t="n">
        <v>6</v>
      </c>
      <c r="I86" s="2" t="n">
        <v>6</v>
      </c>
      <c r="J86" s="2" t="n">
        <f aca="false">F86*G86*H86*I86</f>
        <v>2304</v>
      </c>
      <c r="K86" s="2" t="s">
        <v>41</v>
      </c>
      <c r="L86" s="2" t="n">
        <v>5</v>
      </c>
      <c r="M86" s="2" t="s">
        <v>21</v>
      </c>
      <c r="N86" s="2" t="s">
        <v>247</v>
      </c>
      <c r="O86" s="3" t="s">
        <v>256</v>
      </c>
      <c r="P86" s="3"/>
    </row>
    <row r="87" customFormat="false" ht="23.85" hidden="false" customHeight="false" outlineLevel="0" collapsed="false">
      <c r="A87" s="4" t="n">
        <v>86</v>
      </c>
      <c r="B87" s="4" t="s">
        <v>288</v>
      </c>
      <c r="C87" s="5" t="s">
        <v>289</v>
      </c>
      <c r="D87" s="5" t="s">
        <v>290</v>
      </c>
      <c r="E87" s="4" t="s">
        <v>31</v>
      </c>
      <c r="F87" s="4" t="n">
        <v>8</v>
      </c>
      <c r="G87" s="4" t="n">
        <v>6</v>
      </c>
      <c r="H87" s="4" t="n">
        <v>8</v>
      </c>
      <c r="I87" s="4" t="n">
        <v>7</v>
      </c>
      <c r="J87" s="4" t="n">
        <f aca="false">F87*G87*H87*I87</f>
        <v>2688</v>
      </c>
      <c r="K87" s="4" t="s">
        <v>20</v>
      </c>
      <c r="L87" s="4" t="n">
        <v>20</v>
      </c>
      <c r="M87" s="4" t="s">
        <v>26</v>
      </c>
      <c r="N87" s="4" t="s">
        <v>52</v>
      </c>
      <c r="O87" s="5" t="s">
        <v>291</v>
      </c>
      <c r="P87" s="5"/>
    </row>
    <row r="88" customFormat="false" ht="23.85" hidden="false" customHeight="false" outlineLevel="0" collapsed="false">
      <c r="A88" s="2" t="n">
        <v>87</v>
      </c>
      <c r="B88" s="2" t="s">
        <v>288</v>
      </c>
      <c r="C88" s="3" t="s">
        <v>292</v>
      </c>
      <c r="D88" s="3" t="s">
        <v>293</v>
      </c>
      <c r="E88" s="2" t="s">
        <v>19</v>
      </c>
      <c r="F88" s="2" t="n">
        <v>8</v>
      </c>
      <c r="G88" s="2" t="n">
        <v>7</v>
      </c>
      <c r="H88" s="2" t="n">
        <v>7</v>
      </c>
      <c r="I88" s="2" t="n">
        <v>7</v>
      </c>
      <c r="J88" s="2" t="n">
        <f aca="false">F88*G88*H88*I88</f>
        <v>2744</v>
      </c>
      <c r="K88" s="2" t="s">
        <v>21</v>
      </c>
      <c r="L88" s="2" t="n">
        <v>15</v>
      </c>
      <c r="M88" s="2" t="s">
        <v>21</v>
      </c>
      <c r="N88" s="2" t="s">
        <v>32</v>
      </c>
      <c r="O88" s="3" t="s">
        <v>291</v>
      </c>
      <c r="P88" s="3"/>
    </row>
    <row r="89" customFormat="false" ht="23.85" hidden="false" customHeight="false" outlineLevel="0" collapsed="false">
      <c r="A89" s="4" t="n">
        <v>88</v>
      </c>
      <c r="B89" s="4" t="s">
        <v>288</v>
      </c>
      <c r="C89" s="5" t="s">
        <v>294</v>
      </c>
      <c r="D89" s="5" t="s">
        <v>295</v>
      </c>
      <c r="E89" s="4" t="s">
        <v>31</v>
      </c>
      <c r="F89" s="4" t="n">
        <v>8</v>
      </c>
      <c r="G89" s="4" t="n">
        <v>6</v>
      </c>
      <c r="H89" s="4" t="n">
        <v>7</v>
      </c>
      <c r="I89" s="4" t="n">
        <v>7</v>
      </c>
      <c r="J89" s="4" t="n">
        <f aca="false">F89*G89*H89*I89</f>
        <v>2352</v>
      </c>
      <c r="K89" s="4" t="s">
        <v>21</v>
      </c>
      <c r="L89" s="4" t="n">
        <v>12</v>
      </c>
      <c r="M89" s="4" t="s">
        <v>26</v>
      </c>
      <c r="N89" s="4" t="s">
        <v>52</v>
      </c>
      <c r="O89" s="5" t="s">
        <v>296</v>
      </c>
      <c r="P89" s="5"/>
    </row>
    <row r="90" customFormat="false" ht="23.85" hidden="false" customHeight="false" outlineLevel="0" collapsed="false">
      <c r="A90" s="2" t="n">
        <v>89</v>
      </c>
      <c r="B90" s="2" t="s">
        <v>288</v>
      </c>
      <c r="C90" s="3" t="s">
        <v>297</v>
      </c>
      <c r="D90" s="3" t="s">
        <v>298</v>
      </c>
      <c r="E90" s="2" t="s">
        <v>19</v>
      </c>
      <c r="F90" s="2" t="n">
        <v>6</v>
      </c>
      <c r="G90" s="2" t="n">
        <v>9</v>
      </c>
      <c r="H90" s="2" t="n">
        <v>7</v>
      </c>
      <c r="I90" s="2" t="n">
        <v>9</v>
      </c>
      <c r="J90" s="2" t="n">
        <f aca="false">F90*G90*H90*I90</f>
        <v>3402</v>
      </c>
      <c r="K90" s="2" t="s">
        <v>20</v>
      </c>
      <c r="L90" s="2" t="n">
        <v>15</v>
      </c>
      <c r="M90" s="2" t="s">
        <v>26</v>
      </c>
      <c r="N90" s="2" t="s">
        <v>177</v>
      </c>
      <c r="O90" s="3" t="s">
        <v>299</v>
      </c>
      <c r="P90" s="3"/>
    </row>
    <row r="91" customFormat="false" ht="23.85" hidden="false" customHeight="false" outlineLevel="0" collapsed="false">
      <c r="A91" s="4" t="n">
        <v>90</v>
      </c>
      <c r="B91" s="4" t="s">
        <v>288</v>
      </c>
      <c r="C91" s="5" t="s">
        <v>300</v>
      </c>
      <c r="D91" s="5" t="s">
        <v>301</v>
      </c>
      <c r="E91" s="4" t="s">
        <v>31</v>
      </c>
      <c r="F91" s="4" t="n">
        <v>7</v>
      </c>
      <c r="G91" s="4" t="n">
        <v>6</v>
      </c>
      <c r="H91" s="4" t="n">
        <v>7</v>
      </c>
      <c r="I91" s="4" t="n">
        <v>8</v>
      </c>
      <c r="J91" s="4" t="n">
        <f aca="false">F91*G91*H91*I91</f>
        <v>2352</v>
      </c>
      <c r="K91" s="4" t="s">
        <v>21</v>
      </c>
      <c r="L91" s="4" t="n">
        <v>10</v>
      </c>
      <c r="M91" s="4" t="s">
        <v>26</v>
      </c>
      <c r="N91" s="4" t="s">
        <v>32</v>
      </c>
      <c r="O91" s="5" t="s">
        <v>107</v>
      </c>
      <c r="P91" s="5"/>
    </row>
    <row r="92" customFormat="false" ht="23.85" hidden="false" customHeight="false" outlineLevel="0" collapsed="false">
      <c r="A92" s="2" t="n">
        <v>91</v>
      </c>
      <c r="B92" s="2" t="s">
        <v>288</v>
      </c>
      <c r="C92" s="3" t="s">
        <v>302</v>
      </c>
      <c r="D92" s="3" t="s">
        <v>303</v>
      </c>
      <c r="E92" s="2" t="s">
        <v>31</v>
      </c>
      <c r="F92" s="2" t="n">
        <v>9</v>
      </c>
      <c r="G92" s="2" t="n">
        <v>5</v>
      </c>
      <c r="H92" s="2" t="n">
        <v>6</v>
      </c>
      <c r="I92" s="2" t="n">
        <v>6</v>
      </c>
      <c r="J92" s="2" t="n">
        <f aca="false">F92*G92*H92*I92</f>
        <v>1620</v>
      </c>
      <c r="K92" s="2" t="s">
        <v>21</v>
      </c>
      <c r="L92" s="2" t="n">
        <v>5</v>
      </c>
      <c r="M92" s="2" t="s">
        <v>26</v>
      </c>
      <c r="N92" s="2" t="s">
        <v>104</v>
      </c>
      <c r="O92" s="3" t="s">
        <v>304</v>
      </c>
      <c r="P92" s="3"/>
    </row>
    <row r="93" customFormat="false" ht="23.85" hidden="false" customHeight="false" outlineLevel="0" collapsed="false">
      <c r="A93" s="4" t="n">
        <v>92</v>
      </c>
      <c r="B93" s="4" t="s">
        <v>288</v>
      </c>
      <c r="C93" s="5" t="s">
        <v>305</v>
      </c>
      <c r="D93" s="5" t="s">
        <v>306</v>
      </c>
      <c r="E93" s="4" t="s">
        <v>19</v>
      </c>
      <c r="F93" s="4" t="n">
        <v>8</v>
      </c>
      <c r="G93" s="4" t="n">
        <v>7</v>
      </c>
      <c r="H93" s="4" t="n">
        <v>7</v>
      </c>
      <c r="I93" s="4" t="n">
        <v>5</v>
      </c>
      <c r="J93" s="4" t="n">
        <f aca="false">F93*G93*H93*I93</f>
        <v>1960</v>
      </c>
      <c r="K93" s="4" t="s">
        <v>21</v>
      </c>
      <c r="L93" s="4" t="n">
        <v>4</v>
      </c>
      <c r="M93" s="4" t="s">
        <v>26</v>
      </c>
      <c r="N93" s="4" t="s">
        <v>32</v>
      </c>
      <c r="O93" s="5" t="s">
        <v>307</v>
      </c>
      <c r="P93" s="5"/>
    </row>
    <row r="94" customFormat="false" ht="23.85" hidden="false" customHeight="false" outlineLevel="0" collapsed="false">
      <c r="A94" s="2" t="n">
        <v>93</v>
      </c>
      <c r="B94" s="2" t="s">
        <v>288</v>
      </c>
      <c r="C94" s="3" t="s">
        <v>308</v>
      </c>
      <c r="D94" s="3" t="s">
        <v>309</v>
      </c>
      <c r="E94" s="2" t="s">
        <v>19</v>
      </c>
      <c r="F94" s="2" t="n">
        <v>8</v>
      </c>
      <c r="G94" s="2" t="n">
        <v>9</v>
      </c>
      <c r="H94" s="2" t="n">
        <v>6</v>
      </c>
      <c r="I94" s="2" t="n">
        <v>5</v>
      </c>
      <c r="J94" s="2" t="n">
        <f aca="false">F94*G94*H94*I94</f>
        <v>2160</v>
      </c>
      <c r="K94" s="2" t="s">
        <v>41</v>
      </c>
      <c r="L94" s="2" t="n">
        <v>3</v>
      </c>
      <c r="M94" s="2" t="s">
        <v>21</v>
      </c>
      <c r="N94" s="2" t="s">
        <v>52</v>
      </c>
      <c r="O94" s="3" t="s">
        <v>310</v>
      </c>
      <c r="P94" s="3"/>
    </row>
    <row r="95" customFormat="false" ht="23.85" hidden="false" customHeight="false" outlineLevel="0" collapsed="false">
      <c r="A95" s="4" t="n">
        <v>94</v>
      </c>
      <c r="B95" s="4" t="s">
        <v>288</v>
      </c>
      <c r="C95" s="5" t="s">
        <v>311</v>
      </c>
      <c r="D95" s="5" t="s">
        <v>312</v>
      </c>
      <c r="E95" s="4" t="s">
        <v>19</v>
      </c>
      <c r="F95" s="4" t="n">
        <v>8</v>
      </c>
      <c r="G95" s="4" t="n">
        <v>8</v>
      </c>
      <c r="H95" s="4" t="n">
        <v>6</v>
      </c>
      <c r="I95" s="4" t="n">
        <v>7</v>
      </c>
      <c r="J95" s="4" t="n">
        <f aca="false">F95*G95*H95*I95</f>
        <v>2688</v>
      </c>
      <c r="K95" s="4" t="s">
        <v>26</v>
      </c>
      <c r="L95" s="4" t="n">
        <v>5</v>
      </c>
      <c r="M95" s="4" t="s">
        <v>26</v>
      </c>
      <c r="N95" s="4" t="s">
        <v>22</v>
      </c>
      <c r="O95" s="5" t="s">
        <v>107</v>
      </c>
      <c r="P95" s="5"/>
    </row>
    <row r="96" customFormat="false" ht="23.85" hidden="false" customHeight="false" outlineLevel="0" collapsed="false">
      <c r="A96" s="2" t="n">
        <v>95</v>
      </c>
      <c r="B96" s="2" t="s">
        <v>288</v>
      </c>
      <c r="C96" s="3" t="s">
        <v>313</v>
      </c>
      <c r="D96" s="3" t="s">
        <v>314</v>
      </c>
      <c r="E96" s="2" t="s">
        <v>40</v>
      </c>
      <c r="F96" s="2" t="n">
        <v>8</v>
      </c>
      <c r="G96" s="2" t="n">
        <v>4</v>
      </c>
      <c r="H96" s="2" t="n">
        <v>6</v>
      </c>
      <c r="I96" s="2" t="n">
        <v>7</v>
      </c>
      <c r="J96" s="2" t="n">
        <f aca="false">F96*G96*H96*I96</f>
        <v>1344</v>
      </c>
      <c r="K96" s="2" t="s">
        <v>26</v>
      </c>
      <c r="L96" s="2" t="n">
        <v>4</v>
      </c>
      <c r="M96" s="2" t="s">
        <v>41</v>
      </c>
      <c r="N96" s="2" t="s">
        <v>52</v>
      </c>
      <c r="O96" s="3" t="s">
        <v>315</v>
      </c>
      <c r="P96" s="3"/>
    </row>
    <row r="97" customFormat="false" ht="23.85" hidden="false" customHeight="false" outlineLevel="0" collapsed="false">
      <c r="A97" s="4" t="n">
        <v>96</v>
      </c>
      <c r="B97" s="4" t="s">
        <v>288</v>
      </c>
      <c r="C97" s="5" t="s">
        <v>316</v>
      </c>
      <c r="D97" s="5" t="s">
        <v>317</v>
      </c>
      <c r="E97" s="4" t="s">
        <v>19</v>
      </c>
      <c r="F97" s="4" t="n">
        <v>7</v>
      </c>
      <c r="G97" s="4" t="n">
        <v>7</v>
      </c>
      <c r="H97" s="4" t="n">
        <v>6</v>
      </c>
      <c r="I97" s="4" t="n">
        <v>6</v>
      </c>
      <c r="J97" s="4" t="n">
        <f aca="false">F97*G97*H97*I97</f>
        <v>1764</v>
      </c>
      <c r="K97" s="4" t="s">
        <v>41</v>
      </c>
      <c r="L97" s="4" t="n">
        <v>3</v>
      </c>
      <c r="M97" s="4" t="s">
        <v>26</v>
      </c>
      <c r="N97" s="4" t="s">
        <v>32</v>
      </c>
      <c r="O97" s="5" t="s">
        <v>307</v>
      </c>
      <c r="P97" s="5"/>
    </row>
    <row r="98" customFormat="false" ht="23.85" hidden="false" customHeight="false" outlineLevel="0" collapsed="false">
      <c r="A98" s="2" t="n">
        <v>97</v>
      </c>
      <c r="B98" s="2" t="s">
        <v>288</v>
      </c>
      <c r="C98" s="3" t="s">
        <v>318</v>
      </c>
      <c r="D98" s="3" t="s">
        <v>319</v>
      </c>
      <c r="E98" s="2" t="s">
        <v>19</v>
      </c>
      <c r="F98" s="2" t="n">
        <v>7</v>
      </c>
      <c r="G98" s="2" t="n">
        <v>8</v>
      </c>
      <c r="H98" s="2" t="n">
        <v>6</v>
      </c>
      <c r="I98" s="2" t="n">
        <v>7</v>
      </c>
      <c r="J98" s="2" t="n">
        <f aca="false">F98*G98*H98*I98</f>
        <v>2352</v>
      </c>
      <c r="K98" s="2" t="s">
        <v>26</v>
      </c>
      <c r="L98" s="2" t="n">
        <v>5</v>
      </c>
      <c r="M98" s="2" t="s">
        <v>26</v>
      </c>
      <c r="N98" s="2" t="s">
        <v>177</v>
      </c>
      <c r="O98" s="3" t="s">
        <v>320</v>
      </c>
      <c r="P98" s="3"/>
    </row>
    <row r="99" customFormat="false" ht="23.85" hidden="false" customHeight="false" outlineLevel="0" collapsed="false">
      <c r="A99" s="4" t="n">
        <v>98</v>
      </c>
      <c r="B99" s="4" t="s">
        <v>288</v>
      </c>
      <c r="C99" s="5" t="s">
        <v>321</v>
      </c>
      <c r="D99" s="5" t="s">
        <v>322</v>
      </c>
      <c r="E99" s="4" t="s">
        <v>31</v>
      </c>
      <c r="F99" s="4" t="n">
        <v>7</v>
      </c>
      <c r="G99" s="4" t="n">
        <v>5</v>
      </c>
      <c r="H99" s="4" t="n">
        <v>6</v>
      </c>
      <c r="I99" s="4" t="n">
        <v>6</v>
      </c>
      <c r="J99" s="4" t="n">
        <f aca="false">F99*G99*H99*I99</f>
        <v>1260</v>
      </c>
      <c r="K99" s="4" t="s">
        <v>26</v>
      </c>
      <c r="L99" s="4" t="n">
        <v>4</v>
      </c>
      <c r="M99" s="4" t="s">
        <v>26</v>
      </c>
      <c r="N99" s="4" t="s">
        <v>32</v>
      </c>
      <c r="O99" s="5" t="s">
        <v>291</v>
      </c>
      <c r="P99" s="5"/>
    </row>
    <row r="100" customFormat="false" ht="23.85" hidden="false" customHeight="false" outlineLevel="0" collapsed="false">
      <c r="A100" s="2" t="n">
        <v>99</v>
      </c>
      <c r="B100" s="2" t="s">
        <v>288</v>
      </c>
      <c r="C100" s="3" t="s">
        <v>323</v>
      </c>
      <c r="D100" s="3" t="s">
        <v>324</v>
      </c>
      <c r="E100" s="2" t="s">
        <v>19</v>
      </c>
      <c r="F100" s="2" t="n">
        <v>9</v>
      </c>
      <c r="G100" s="2" t="n">
        <v>9</v>
      </c>
      <c r="H100" s="2" t="n">
        <v>6</v>
      </c>
      <c r="I100" s="2" t="n">
        <v>5</v>
      </c>
      <c r="J100" s="2" t="n">
        <f aca="false">F100*G100*H100*I100</f>
        <v>2430</v>
      </c>
      <c r="K100" s="2" t="s">
        <v>26</v>
      </c>
      <c r="L100" s="2" t="n">
        <v>6</v>
      </c>
      <c r="M100" s="2" t="s">
        <v>21</v>
      </c>
      <c r="N100" s="2" t="s">
        <v>104</v>
      </c>
      <c r="O100" s="3" t="s">
        <v>291</v>
      </c>
      <c r="P100" s="3"/>
    </row>
    <row r="101" customFormat="false" ht="23.85" hidden="false" customHeight="false" outlineLevel="0" collapsed="false">
      <c r="A101" s="4" t="n">
        <v>100</v>
      </c>
      <c r="B101" s="4" t="s">
        <v>288</v>
      </c>
      <c r="C101" s="5" t="s">
        <v>325</v>
      </c>
      <c r="D101" s="5" t="s">
        <v>326</v>
      </c>
      <c r="E101" s="4" t="s">
        <v>31</v>
      </c>
      <c r="F101" s="4" t="n">
        <v>7</v>
      </c>
      <c r="G101" s="4" t="n">
        <v>5</v>
      </c>
      <c r="H101" s="4" t="n">
        <v>6</v>
      </c>
      <c r="I101" s="4" t="n">
        <v>7</v>
      </c>
      <c r="J101" s="4" t="n">
        <f aca="false">F101*G101*H101*I101</f>
        <v>1470</v>
      </c>
      <c r="K101" s="4" t="s">
        <v>41</v>
      </c>
      <c r="L101" s="4" t="n">
        <v>3</v>
      </c>
      <c r="M101" s="4" t="s">
        <v>41</v>
      </c>
      <c r="N101" s="4" t="s">
        <v>22</v>
      </c>
      <c r="O101" s="5" t="s">
        <v>107</v>
      </c>
      <c r="P101" s="5"/>
    </row>
    <row r="102" customFormat="false" ht="23.85" hidden="false" customHeight="false" outlineLevel="0" collapsed="false">
      <c r="A102" s="2" t="n">
        <v>101</v>
      </c>
      <c r="B102" s="2" t="s">
        <v>288</v>
      </c>
      <c r="C102" s="3" t="s">
        <v>327</v>
      </c>
      <c r="D102" s="3" t="s">
        <v>328</v>
      </c>
      <c r="E102" s="2" t="s">
        <v>19</v>
      </c>
      <c r="F102" s="2" t="n">
        <v>7</v>
      </c>
      <c r="G102" s="2" t="n">
        <v>6</v>
      </c>
      <c r="H102" s="2" t="n">
        <v>6</v>
      </c>
      <c r="I102" s="2" t="n">
        <v>6</v>
      </c>
      <c r="J102" s="2" t="n">
        <f aca="false">F102*G102*H102*I102</f>
        <v>1512</v>
      </c>
      <c r="K102" s="2" t="s">
        <v>41</v>
      </c>
      <c r="L102" s="2" t="n">
        <v>2</v>
      </c>
      <c r="M102" s="2" t="s">
        <v>26</v>
      </c>
      <c r="N102" s="2" t="s">
        <v>32</v>
      </c>
      <c r="O102" s="3" t="s">
        <v>329</v>
      </c>
      <c r="P102" s="3"/>
    </row>
  </sheetData>
  <autoFilter ref="A1:P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7" min="5" style="0" width="15"/>
  </cols>
  <sheetData>
    <row r="1" customFormat="false" ht="23.85" hidden="false" customHeight="false" outlineLevel="0" collapsed="false">
      <c r="A1" s="1" t="s">
        <v>1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</row>
    <row r="2" customFormat="false" ht="15" hidden="false" customHeight="false" outlineLevel="0" collapsed="false">
      <c r="A2" s="6" t="s">
        <v>16</v>
      </c>
      <c r="B2" s="7" t="n">
        <v>25</v>
      </c>
      <c r="C2" s="7" t="n">
        <v>17</v>
      </c>
      <c r="D2" s="7" t="n">
        <v>5</v>
      </c>
      <c r="E2" s="7" t="n">
        <v>3</v>
      </c>
      <c r="F2" s="7" t="n">
        <v>3368</v>
      </c>
      <c r="G2" s="7" t="n">
        <v>447</v>
      </c>
    </row>
    <row r="3" customFormat="false" ht="15" hidden="false" customHeight="false" outlineLevel="0" collapsed="false">
      <c r="A3" s="6" t="s">
        <v>108</v>
      </c>
      <c r="B3" s="7" t="n">
        <v>20</v>
      </c>
      <c r="C3" s="7" t="n">
        <v>13</v>
      </c>
      <c r="D3" s="7" t="n">
        <v>5</v>
      </c>
      <c r="E3" s="7" t="n">
        <v>2</v>
      </c>
      <c r="F3" s="7" t="n">
        <v>2630</v>
      </c>
      <c r="G3" s="7" t="n">
        <v>308</v>
      </c>
    </row>
    <row r="4" customFormat="false" ht="15" hidden="false" customHeight="false" outlineLevel="0" collapsed="false">
      <c r="A4" s="6" t="s">
        <v>166</v>
      </c>
      <c r="B4" s="7" t="n">
        <v>20</v>
      </c>
      <c r="C4" s="7" t="n">
        <v>15</v>
      </c>
      <c r="D4" s="7" t="n">
        <v>5</v>
      </c>
      <c r="E4" s="7" t="n">
        <v>0</v>
      </c>
      <c r="F4" s="7" t="n">
        <v>2787</v>
      </c>
      <c r="G4" s="7" t="n">
        <v>291</v>
      </c>
    </row>
    <row r="5" customFormat="false" ht="15" hidden="false" customHeight="false" outlineLevel="0" collapsed="false">
      <c r="A5" s="6" t="s">
        <v>225</v>
      </c>
      <c r="B5" s="7" t="n">
        <v>7</v>
      </c>
      <c r="C5" s="7" t="n">
        <v>4</v>
      </c>
      <c r="D5" s="7" t="n">
        <v>2</v>
      </c>
      <c r="E5" s="7" t="n">
        <v>1</v>
      </c>
      <c r="F5" s="7" t="n">
        <v>2252</v>
      </c>
      <c r="G5" s="7" t="n">
        <v>137</v>
      </c>
    </row>
    <row r="6" customFormat="false" ht="15" hidden="false" customHeight="false" outlineLevel="0" collapsed="false">
      <c r="A6" s="6" t="s">
        <v>244</v>
      </c>
      <c r="B6" s="7" t="n">
        <v>13</v>
      </c>
      <c r="C6" s="7" t="n">
        <v>12</v>
      </c>
      <c r="D6" s="7" t="n">
        <v>1</v>
      </c>
      <c r="E6" s="7" t="n">
        <v>0</v>
      </c>
      <c r="F6" s="7" t="n">
        <v>2751</v>
      </c>
      <c r="G6" s="7" t="n">
        <v>188</v>
      </c>
    </row>
    <row r="7" customFormat="false" ht="15" hidden="false" customHeight="false" outlineLevel="0" collapsed="false">
      <c r="A7" s="6" t="s">
        <v>288</v>
      </c>
      <c r="B7" s="7" t="n">
        <v>16</v>
      </c>
      <c r="C7" s="7" t="n">
        <v>9</v>
      </c>
      <c r="D7" s="7" t="n">
        <v>6</v>
      </c>
      <c r="E7" s="7" t="n">
        <v>1</v>
      </c>
      <c r="F7" s="7" t="n">
        <v>2131</v>
      </c>
      <c r="G7" s="7" t="n">
        <v>116</v>
      </c>
    </row>
    <row r="8" customFormat="false" ht="15" hidden="false" customHeight="false" outlineLevel="0" collapsed="false">
      <c r="A8" s="8" t="s">
        <v>336</v>
      </c>
      <c r="B8" s="6" t="n">
        <v>101</v>
      </c>
      <c r="C8" s="6" t="n">
        <v>70</v>
      </c>
      <c r="D8" s="6" t="n">
        <v>24</v>
      </c>
      <c r="E8" s="6" t="n">
        <v>7</v>
      </c>
      <c r="F8" s="7"/>
      <c r="G8" s="6" t="n">
        <v>1487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2026-04-09T13:25:27Z</dcterms:created>
  <dc:creator>openpyxl</dc:creator>
  <dc:description/>
  <dc:language>en-US</dc:language>
  <cp:lastModifiedBy/>
  <dcterms:modified xsi:type="dcterms:W3CDTF">2026-04-09T13:25:27Z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