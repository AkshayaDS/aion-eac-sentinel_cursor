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Costing 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<sst xmlns="http://schemas.openxmlformats.org/spreadsheetml/2006/main" count="326" uniqueCount="239">
  <si>
    <t xml:space="preserve">Sales Costing Sheet</t>
  </si>
  <si>
    <t xml:space="preserve">For Demo Purpose Only - RFP RTX-EOS-RFP-2026-0111 | Change-Led Delivery Model (10-20-70)</t>
  </si>
  <si>
    <t xml:space="preserve">Basic Details</t>
  </si>
  <si>
    <t xml:space="preserve">Quote Type</t>
  </si>
  <si>
    <t xml:space="preserve">Lumpsum + Outcome-Based Hybrid</t>
  </si>
  <si>
    <t xml:space="preserve">Quote Version</t>
  </si>
  <si>
    <t xml:space="preserve">2.0</t>
  </si>
  <si>
    <t xml:space="preserve">Quote Name</t>
  </si>
  <si>
    <t xml:space="preserve">RTX Enterprise AI Operating System (EOS)</t>
  </si>
  <si>
    <t xml:space="preserve">Quote Owner</t>
  </si>
  <si>
    <t xml:space="preserve">Mark Makepeace (Strategy Lead)</t>
  </si>
  <si>
    <t xml:space="preserve">Contract Duration</t>
  </si>
  <si>
    <t xml:space="preserve">36 Months (Baseline Transformation)</t>
  </si>
  <si>
    <t xml:space="preserve">Manpower</t>
  </si>
  <si>
    <t xml:space="preserve">No.</t>
  </si>
  <si>
    <t xml:space="preserve">Role</t>
  </si>
  <si>
    <t xml:space="preserve">Skill / Technology</t>
  </si>
  <si>
    <t xml:space="preserve">Location</t>
  </si>
  <si>
    <t xml:space="preserve">Monthly Rate</t>
  </si>
  <si>
    <t xml:space="preserve">Resources</t>
  </si>
  <si>
    <t xml:space="preserve">Months</t>
  </si>
  <si>
    <t xml:space="preserve">Total Cost</t>
  </si>
  <si>
    <t xml:space="preserve">A. Leadership &amp; programme governance</t>
  </si>
  <si>
    <t xml:space="preserve">Engagement Partner</t>
  </si>
  <si>
    <t xml:space="preserve">Client Relationship / MD</t>
  </si>
  <si>
    <t xml:space="preserve">London</t>
  </si>
  <si>
    <t xml:space="preserve">Practice Lead</t>
  </si>
  <si>
    <t xml:space="preserve">Programme Lead</t>
  </si>
  <si>
    <t xml:space="preserve">Program Manager</t>
  </si>
  <si>
    <t xml:space="preserve">PMO Lead</t>
  </si>
  <si>
    <t xml:space="preserve">Enterprise Architect</t>
  </si>
  <si>
    <t xml:space="preserve">Solution Architect</t>
  </si>
  <si>
    <t xml:space="preserve">★ B. Change management &amp; workforce transformation (RFP Pillar 6)</t>
  </si>
  <si>
    <t xml:space="preserve">Change Management Director</t>
  </si>
  <si>
    <t xml:space="preserve">Org Transformation Lead</t>
  </si>
  <si>
    <t xml:space="preserve">Stakeholder Engagement Lead</t>
  </si>
  <si>
    <t xml:space="preserve">Champion / Pragmatist Strategy</t>
  </si>
  <si>
    <t xml:space="preserve">Comms &amp; Narrative Lead</t>
  </si>
  <si>
    <t xml:space="preserve">CEO Comms / AI Stories / Town Halls</t>
  </si>
  <si>
    <t xml:space="preserve">Workforce Planning Analyst</t>
  </si>
  <si>
    <t xml:space="preserve">Role Evolution / Skills Gap</t>
  </si>
  <si>
    <t xml:space="preserve">Adoption &amp; Metrics Lead</t>
  </si>
  <si>
    <t xml:space="preserve">Adoption Heatmap / NPS / Override Rates</t>
  </si>
  <si>
    <t xml:space="preserve">Operator Co-Design Lead</t>
  </si>
  <si>
    <t xml:space="preserve">Floor-Level Change / Reverse Mentoring</t>
  </si>
  <si>
    <t xml:space="preserve">Change Analyst (P&amp;W)</t>
  </si>
  <si>
    <t xml:space="preserve">P&amp;W Manufacturing Change</t>
  </si>
  <si>
    <t xml:space="preserve">Chennai</t>
  </si>
  <si>
    <t xml:space="preserve">Change Analyst (Collins)</t>
  </si>
  <si>
    <t xml:space="preserve">Collins Avionics Change</t>
  </si>
  <si>
    <t xml:space="preserve">Change Analyst (Raytheon)</t>
  </si>
  <si>
    <t xml:space="preserve">Raytheon Defense Change</t>
  </si>
  <si>
    <t xml:space="preserve">★ C. Centre of Excellence &amp; capability transfer (RFP Pillar 3)</t>
  </si>
  <si>
    <t xml:space="preserve">CoE Director</t>
  </si>
  <si>
    <t xml:space="preserve">AI CoE Build, Transition &amp; Governance</t>
  </si>
  <si>
    <t xml:space="preserve">AI Training Programme Lead</t>
  </si>
  <si>
    <t xml:space="preserve">L1/L2/L3 Curriculum Design</t>
  </si>
  <si>
    <t xml:space="preserve">AI Training Delivery Lead</t>
  </si>
  <si>
    <t xml:space="preserve">Workshops / Certification</t>
  </si>
  <si>
    <t xml:space="preserve">Knowledge Engineer</t>
  </si>
  <si>
    <t xml:space="preserve">AI Playbook / Documentation</t>
  </si>
  <si>
    <t xml:space="preserve">Train-the-Trainer Coach</t>
  </si>
  <si>
    <t xml:space="preserve">RTX Internal Facilitator Prep</t>
  </si>
  <si>
    <t xml:space="preserve">AI Practitioner Assessor</t>
  </si>
  <si>
    <t xml:space="preserve">Certification / Competency Testing</t>
  </si>
  <si>
    <t xml:space="preserve">★ D. Ethics, risk &amp; compliance (RFP Pillar 5)</t>
  </si>
  <si>
    <t xml:space="preserve">AI Ethics &amp; GRC Lead</t>
  </si>
  <si>
    <t xml:space="preserve">Responsible AI Framework / Bias</t>
  </si>
  <si>
    <t xml:space="preserve">AI Risk Classification Analyst</t>
  </si>
  <si>
    <t xml:space="preserve">Tier 1/2/3 Governance</t>
  </si>
  <si>
    <t xml:space="preserve">Model Lifecycle Governance Lead</t>
  </si>
  <si>
    <t xml:space="preserve">Registry / Drift / 90-Day Revalidation</t>
  </si>
  <si>
    <t xml:space="preserve">Regulatory Compliance Analyst</t>
  </si>
  <si>
    <t xml:space="preserve">ITAR / CMMC / SOX / CAS Mapping</t>
  </si>
  <si>
    <t xml:space="preserve">E. SAP &amp; ERP transformation (OneRTX PST)</t>
  </si>
  <si>
    <t xml:space="preserve">SAP Solution Architect</t>
  </si>
  <si>
    <t xml:space="preserve">S/4HANA + Base90 A&amp;D</t>
  </si>
  <si>
    <t xml:space="preserve">SAP Finance Lead</t>
  </si>
  <si>
    <t xml:space="preserve">Financial Close / EVMS / CAS</t>
  </si>
  <si>
    <t xml:space="preserve">SAP Manufacturing Lead</t>
  </si>
  <si>
    <t xml:space="preserve">PP/QM / Predictive Quality</t>
  </si>
  <si>
    <t xml:space="preserve">SAP Maintenance Lead</t>
  </si>
  <si>
    <t xml:space="preserve">PM / iMRO/4 Expert</t>
  </si>
  <si>
    <t xml:space="preserve">SAP BTP Integration Lead</t>
  </si>
  <si>
    <t xml:space="preserve">BTP / OData / Event Mesh</t>
  </si>
  <si>
    <t xml:space="preserve">SAP Joule AI Lead</t>
  </si>
  <si>
    <t xml:space="preserve">Joule Studio / AI Core</t>
  </si>
  <si>
    <t xml:space="preserve">HANASmart Migration Lead</t>
  </si>
  <si>
    <t xml:space="preserve">ABAP Code Remediation</t>
  </si>
  <si>
    <t xml:space="preserve">SAP Offshore (Finance)</t>
  </si>
  <si>
    <t xml:space="preserve">Financial Close Analyst</t>
  </si>
  <si>
    <t xml:space="preserve">SAP Offshore (Mfg)</t>
  </si>
  <si>
    <t xml:space="preserve">Quality &amp; MES Analyst</t>
  </si>
  <si>
    <t xml:space="preserve">SAP Offshore (MRO)</t>
  </si>
  <si>
    <t xml:space="preserve">MRO Agent Developer</t>
  </si>
  <si>
    <t xml:space="preserve">SAP Offshore (Projects)</t>
  </si>
  <si>
    <t xml:space="preserve">EAC &amp; EVMS Analyst</t>
  </si>
  <si>
    <t xml:space="preserve">SAP Offshore (Joule AI)</t>
  </si>
  <si>
    <t xml:space="preserve">AI Engineer (Joule)</t>
  </si>
  <si>
    <t xml:space="preserve">F. AI / ML &amp; agentic AI platform</t>
  </si>
  <si>
    <t xml:space="preserve">AI Platform Architect</t>
  </si>
  <si>
    <t xml:space="preserve">AI Force + MLOps</t>
  </si>
  <si>
    <t xml:space="preserve">Computer Vision Lead</t>
  </si>
  <si>
    <t xml:space="preserve">GTF Blade Quality / NVIDIA</t>
  </si>
  <si>
    <t xml:space="preserve">NLP / GenAI Lead</t>
  </si>
  <si>
    <t xml:space="preserve">RAG / LLM / Contract AI</t>
  </si>
  <si>
    <t xml:space="preserve">Agent Orchestration Lead</t>
  </si>
  <si>
    <t xml:space="preserve">Multi-Agent Framework</t>
  </si>
  <si>
    <t xml:space="preserve">ML Engineer (CV)</t>
  </si>
  <si>
    <t xml:space="preserve">Computer Vision Models</t>
  </si>
  <si>
    <t xml:space="preserve">ML Engineer (NLP)</t>
  </si>
  <si>
    <t xml:space="preserve">LLM Fine-tuning / RAG</t>
  </si>
  <si>
    <t xml:space="preserve">AI Agent Developer</t>
  </si>
  <si>
    <t xml:space="preserve">Agent Studio / LangChain</t>
  </si>
  <si>
    <t xml:space="preserve">MLOps Engineer</t>
  </si>
  <si>
    <t xml:space="preserve">Model Registry / CI-CD / Drift</t>
  </si>
  <si>
    <t xml:space="preserve">G. Data platform &amp; analytics</t>
  </si>
  <si>
    <t xml:space="preserve">Data Architect</t>
  </si>
  <si>
    <t xml:space="preserve">Lakehouse / Delta Lake / MDM</t>
  </si>
  <si>
    <t xml:space="preserve">Data Governance Lead</t>
  </si>
  <si>
    <t xml:space="preserve">5 P's / Data Mesh / Catalog</t>
  </si>
  <si>
    <t xml:space="preserve">Data Engineer Senior</t>
  </si>
  <si>
    <t xml:space="preserve">Databricks / AVEVA PI</t>
  </si>
  <si>
    <t xml:space="preserve">Data Engineer</t>
  </si>
  <si>
    <t xml:space="preserve">ETL / Streaming / OPC-UA</t>
  </si>
  <si>
    <t xml:space="preserve">H. OT convergence, cloud &amp; security</t>
  </si>
  <si>
    <t xml:space="preserve">OT/IT Convergence Lead</t>
  </si>
  <si>
    <t xml:space="preserve">Siemens MES / Rockwell / PI</t>
  </si>
  <si>
    <t xml:space="preserve">Cloud Architect</t>
  </si>
  <si>
    <t xml:space="preserve">Azure Gov / AWS GovCloud</t>
  </si>
  <si>
    <t xml:space="preserve">ITAR Security Architect</t>
  </si>
  <si>
    <t xml:space="preserve">FedRAMP / IL5 / Air-Gap</t>
  </si>
  <si>
    <t xml:space="preserve">US Onsite</t>
  </si>
  <si>
    <t xml:space="preserve">CMMC Compliance Lead</t>
  </si>
  <si>
    <t xml:space="preserve">NIST 800-171 / C3PAO Prep</t>
  </si>
  <si>
    <t xml:space="preserve">Integration Developer</t>
  </si>
  <si>
    <t xml:space="preserve">SAP BTP / MuleSoft / Kafka</t>
  </si>
  <si>
    <t xml:space="preserve">OT Integration Engineer</t>
  </si>
  <si>
    <t xml:space="preserve">OPC-UA / MQTT / PI System</t>
  </si>
  <si>
    <t xml:space="preserve">Cloud DevOps Engineer</t>
  </si>
  <si>
    <t xml:space="preserve">Terraform / K8s / CI-CD</t>
  </si>
  <si>
    <t xml:space="preserve">IAM / Zero-Trust Specialist</t>
  </si>
  <si>
    <t xml:space="preserve">SailPoint / Varonis</t>
  </si>
  <si>
    <t xml:space="preserve">Cyber Threat Analyst</t>
  </si>
  <si>
    <t xml:space="preserve">CrowdStrike Falcon / XDR</t>
  </si>
  <si>
    <t xml:space="preserve">I. Experience layer &amp; UX</t>
  </si>
  <si>
    <t xml:space="preserve">UX/UI Lead</t>
  </si>
  <si>
    <t xml:space="preserve">Dashboard / Command Center</t>
  </si>
  <si>
    <t xml:space="preserve">AR/VR Developer</t>
  </si>
  <si>
    <t xml:space="preserve">PTC Vuforia / HoloLens MRO</t>
  </si>
  <si>
    <t xml:space="preserve">Frontend Developer</t>
  </si>
  <si>
    <t xml:space="preserve">React / Power BI Dashboards</t>
  </si>
  <si>
    <t xml:space="preserve">Total Manpower Cost (59 roles)</t>
  </si>
  <si>
    <t xml:space="preserve">★ Change, CoE &amp; ethics streams = ~30% of total manpower investment (10-20-70 rule: 70% people &amp; process)</t>
  </si>
  <si>
    <t xml:space="preserve">Non-Manpower (Travel &amp; Accommodation)</t>
  </si>
  <si>
    <t xml:space="preserve">Travel Qty</t>
  </si>
  <si>
    <t xml:space="preserve">Amt/Trip (USD)</t>
  </si>
  <si>
    <t xml:space="preserve">London → Arlington</t>
  </si>
  <si>
    <t xml:space="preserve">London → E. Hartford</t>
  </si>
  <si>
    <t xml:space="preserve">London → All 3 Segments</t>
  </si>
  <si>
    <t xml:space="preserve">London → P&amp;W / Collins Factories</t>
  </si>
  <si>
    <t xml:space="preserve">London → RTX Facilities</t>
  </si>
  <si>
    <t xml:space="preserve">London → Manufacturing Sites</t>
  </si>
  <si>
    <t xml:space="preserve">US Domestic (Multi-site)</t>
  </si>
  <si>
    <t xml:space="preserve">SAP Leads (x4)</t>
  </si>
  <si>
    <t xml:space="preserve">London → Arlington / Hartford</t>
  </si>
  <si>
    <t xml:space="preserve">Total Non-Manpower Cost</t>
  </si>
  <si>
    <t xml:space="preserve">Delivery</t>
  </si>
  <si>
    <t xml:space="preserve">Item</t>
  </si>
  <si>
    <t xml:space="preserve">Monthly Cost</t>
  </si>
  <si>
    <t xml:space="preserve">Onsite Seat Cost (London + US)</t>
  </si>
  <si>
    <t xml:space="preserve">Onsite</t>
  </si>
  <si>
    <t xml:space="preserve">Offshore Seat Cost (Chennai)</t>
  </si>
  <si>
    <t xml:space="preserve">PL Cost (Practice oversight)</t>
  </si>
  <si>
    <t xml:space="preserve">PMO Cost (Programme mgmt)</t>
  </si>
  <si>
    <t xml:space="preserve">ITAR Facility Access</t>
  </si>
  <si>
    <t xml:space="preserve">Training Venue &amp; Materials</t>
  </si>
  <si>
    <t xml:space="preserve">RTX Sites</t>
  </si>
  <si>
    <t xml:space="preserve">Workshop Facilitation Kits</t>
  </si>
  <si>
    <t xml:space="preserve">Global</t>
  </si>
  <si>
    <t xml:space="preserve">Total Delivery Cost</t>
  </si>
  <si>
    <t xml:space="preserve">License &amp; Platform</t>
  </si>
  <si>
    <t xml:space="preserve">License / Product Name</t>
  </si>
  <si>
    <t xml:space="preserve">Qty</t>
  </si>
  <si>
    <t xml:space="preserve">Unit Price (USD)</t>
  </si>
  <si>
    <t xml:space="preserve">Margin %</t>
  </si>
  <si>
    <t xml:space="preserve">Final Price</t>
  </si>
  <si>
    <t xml:space="preserve">HCL AI Force Enterprise (GenAI + Agentic)</t>
  </si>
  <si>
    <t xml:space="preserve">ITAR Foundry (Air-Gapped Sovereign Cloud)</t>
  </si>
  <si>
    <t xml:space="preserve">iMRO/4 SAP Extension (MRO Intelligence)</t>
  </si>
  <si>
    <t xml:space="preserve">Base90 A&amp;D Templates (S/4HANA Accelerator)</t>
  </si>
  <si>
    <t xml:space="preserve">HANASmart + GenAI (ABAP Migration)</t>
  </si>
  <si>
    <t xml:space="preserve">iSCM (Supply Chain Intelligence)</t>
  </si>
  <si>
    <t xml:space="preserve">AI Force GRC Module (Compliance + Ethics)</t>
  </si>
  <si>
    <t xml:space="preserve">Total License Cost</t>
  </si>
  <si>
    <t xml:space="preserve">Margin</t>
  </si>
  <si>
    <t xml:space="preserve">Gross Margin %</t>
  </si>
  <si>
    <t xml:space="preserve">Per FY25 EBIT benchmarks</t>
  </si>
  <si>
    <t xml:space="preserve">Commercial Synthesis ($142M TCV Model)</t>
  </si>
  <si>
    <t xml:space="preserve">Category</t>
  </si>
  <si>
    <t xml:space="preserve">Value (USD)</t>
  </si>
  <si>
    <t xml:space="preserve">Description</t>
  </si>
  <si>
    <t xml:space="preserve">Fixed Transformation Base (60%)</t>
  </si>
  <si>
    <t xml:space="preserve">Deployment, manpower, ITAR cloud, platform licenses</t>
  </si>
  <si>
    <t xml:space="preserve">Outcome-Linked Fees (30%)</t>
  </si>
  <si>
    <t xml:space="preserve">Contingent on 30% TAT, 60% L1 deflection, 6-day close</t>
  </si>
  <si>
    <t xml:space="preserve">Co-Innovation Fund (10%)</t>
  </si>
  <si>
    <t xml:space="preserve">Robotics, AR/VR, quantum, responsible AI experimentation</t>
  </si>
  <si>
    <t xml:space="preserve">Total Price</t>
  </si>
  <si>
    <t xml:space="preserve">Payment Terms (Milestone-Based)</t>
  </si>
  <si>
    <t xml:space="preserve">Payment Days: 30 days | Outcome fees activate after 6-month baseline establishment period</t>
  </si>
  <si>
    <t xml:space="preserve">Milestone Name</t>
  </si>
  <si>
    <t xml:space="preserve">Billing Mo.</t>
  </si>
  <si>
    <t xml:space="preserve">Payment Mo.</t>
  </si>
  <si>
    <t xml:space="preserve">% of TCV</t>
  </si>
  <si>
    <t xml:space="preserve">Cash Flow (USD)</t>
  </si>
  <si>
    <t xml:space="preserve">Platform Ignition (AI Force + Foundry Deploy)</t>
  </si>
  <si>
    <t xml:space="preserve">M3</t>
  </si>
  <si>
    <t xml:space="preserve">M4</t>
  </si>
  <si>
    <t xml:space="preserve">Wave 0: GTF Quality Pipeline Pilot + CoE Launch</t>
  </si>
  <si>
    <t xml:space="preserve">M6</t>
  </si>
  <si>
    <t xml:space="preserve">M7</t>
  </si>
  <si>
    <t xml:space="preserve">Wave 1: Supply Chain &amp; Finance Agents + L1 Training</t>
  </si>
  <si>
    <t xml:space="preserve">M12</t>
  </si>
  <si>
    <t xml:space="preserve">M13</t>
  </si>
  <si>
    <t xml:space="preserve">First Outcome Fee: 30% TAT Reduction Verified</t>
  </si>
  <si>
    <t xml:space="preserve">M15</t>
  </si>
  <si>
    <t xml:space="preserve">M16</t>
  </si>
  <si>
    <t xml:space="preserve">Wave 2: Enterprise Scale + CoE Hybrid Transition</t>
  </si>
  <si>
    <t xml:space="preserve">M24</t>
  </si>
  <si>
    <t xml:space="preserve">M25</t>
  </si>
  <si>
    <t xml:space="preserve">Second Outcome Fee: 60% L1 Deflection + 80% Adoption</t>
  </si>
  <si>
    <t xml:space="preserve">M27</t>
  </si>
  <si>
    <t xml:space="preserve">M28</t>
  </si>
  <si>
    <t xml:space="preserve">Full EOS Handover + CoE Independence + L3 Certified</t>
  </si>
  <si>
    <t xml:space="preserve">M36</t>
  </si>
  <si>
    <t xml:space="preserve">M37</t>
  </si>
  <si>
    <t xml:space="preserve">Total</t>
  </si>
  <si>
    <t xml:space="preserve">AION - Enterprise AI OS | HCL Technologies for RTX Corporation | RTX-EOS-RFP-2026-0111 | CONFIDENTIAL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</si>
</sst>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%"/>
    <numFmt numFmtId="167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333333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1A3A5C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7A5E00"/>
      <name val="Arial"/>
      <family val="0"/>
      <charset val="1"/>
    </font>
    <font>
      <b val="true"/>
      <sz val="10"/>
      <color rgb="FF0A1628"/>
      <name val="Arial"/>
      <family val="0"/>
      <charset val="1"/>
    </font>
    <font>
      <b val="true"/>
      <sz val="11"/>
      <color rgb="FF0A1628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8"/>
      <color rgb="FF666666"/>
      <name val="Arial"/>
      <family val="0"/>
      <charset val="1"/>
    </font>
    <font>
      <b val="true"/>
      <sz val="12"/>
      <color rgb="FF0A1628"/>
      <name val="Arial"/>
      <family val="0"/>
      <charset val="1"/>
    </font>
    <font>
      <b val="true"/>
      <sz val="13"/>
      <color rgb="FF0A1628"/>
      <name val="Arial"/>
      <family val="0"/>
      <charset val="1"/>
    </font>
    <font>
      <sz val="8"/>
      <color rgb="FFAAAAAA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A1628"/>
        <bgColor rgb="FF000000"/>
      </patternFill>
    </fill>
    <fill>
      <patternFill patternType="solid">
        <fgColor rgb="FFFFF3CD"/>
        <bgColor rgb="FFFFF8E1"/>
      </patternFill>
    </fill>
    <fill>
      <patternFill patternType="solid">
        <fgColor rgb="FF1A3A5C"/>
        <bgColor rgb="FF333333"/>
      </patternFill>
    </fill>
    <fill>
      <patternFill patternType="solid">
        <fgColor rgb="FFF5F5F5"/>
        <bgColor rgb="FFF0F8FF"/>
      </patternFill>
    </fill>
    <fill>
      <patternFill patternType="solid">
        <fgColor rgb="FF2C5F8A"/>
        <bgColor rgb="FF1A3A5C"/>
      </patternFill>
    </fill>
    <fill>
      <patternFill patternType="solid">
        <fgColor rgb="FFE8E8E8"/>
        <bgColor rgb="FFF5F5F5"/>
      </patternFill>
    </fill>
    <fill>
      <patternFill patternType="solid">
        <fgColor rgb="FFFFFFFF"/>
        <bgColor rgb="FFF0F8FF"/>
      </patternFill>
    </fill>
    <fill>
      <patternFill patternType="solid">
        <fgColor rgb="FFFFF8E1"/>
        <bgColor rgb="FFFFF3CD"/>
      </patternFill>
    </fill>
    <fill>
      <patternFill patternType="solid">
        <fgColor rgb="FFF0F8FF"/>
        <bgColor rgb="FFF5F5F5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medium">
        <color rgb="FF999999"/>
      </top>
      <bottom style="medium">
        <color rgb="FF999999"/>
      </bottom>
      <diagonal/>
    </border>
    <border diagonalUp="false" diagonalDown="false">
      <left style="thin">
        <color rgb="FFCCCCCC"/>
      </left>
      <right style="thin">
        <color rgb="FFCCCCCC"/>
      </right>
      <top style="medium">
        <color rgb="FF999999"/>
      </top>
      <bottom style="medium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E00"/>
      <rgbColor rgb="FF800080"/>
      <rgbColor rgb="FF008080"/>
      <rgbColor rgb="FFCCCCCC"/>
      <rgbColor rgb="FF888888"/>
      <rgbColor rgb="FFAAAAAA"/>
      <rgbColor rgb="FF993366"/>
      <rgbColor rgb="FFFFF8E1"/>
      <rgbColor rgb="FFF0F8FF"/>
      <rgbColor rgb="FF660066"/>
      <rgbColor rgb="FFFF8080"/>
      <rgbColor rgb="FF2C5F8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E8E8E8"/>
      <rgbColor rgb="FFFFF3C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A3A5C"/>
      <rgbColor rgb="FF339966"/>
      <rgbColor rgb="FF0A162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B5" s="4" t="s">
        <v>3</v>
      </c>
      <c r="C5" s="5" t="s">
        <v>4</v>
      </c>
      <c r="D5" s="5"/>
      <c r="E5" s="5"/>
      <c r="F5" s="5"/>
      <c r="G5" s="5"/>
      <c r="H5" s="5"/>
    </row>
    <row r="6" customFormat="false" ht="15" hidden="false" customHeight="false" outlineLevel="0" collapsed="false">
      <c r="B6" s="4" t="s">
        <v>5</v>
      </c>
      <c r="C6" s="5" t="s">
        <v>6</v>
      </c>
      <c r="D6" s="5"/>
      <c r="E6" s="5"/>
      <c r="F6" s="5"/>
      <c r="G6" s="5"/>
      <c r="H6" s="5"/>
    </row>
    <row r="7" customFormat="false" ht="15" hidden="false" customHeight="false" outlineLevel="0" collapsed="false">
      <c r="B7" s="4" t="s">
        <v>7</v>
      </c>
      <c r="C7" s="5" t="s">
        <v>8</v>
      </c>
      <c r="D7" s="5"/>
      <c r="E7" s="5"/>
      <c r="F7" s="5"/>
      <c r="G7" s="5"/>
      <c r="H7" s="5"/>
    </row>
    <row r="8" customFormat="false" ht="15" hidden="false" customHeight="false" outlineLevel="0" collapsed="false">
      <c r="B8" s="4" t="s">
        <v>9</v>
      </c>
      <c r="C8" s="5" t="s">
        <v>10</v>
      </c>
      <c r="D8" s="5"/>
      <c r="E8" s="5"/>
      <c r="F8" s="5"/>
      <c r="G8" s="5"/>
      <c r="H8" s="5"/>
    </row>
    <row r="9" customFormat="false" ht="15" hidden="false" customHeight="false" outlineLevel="0" collapsed="false">
      <c r="B9" s="4" t="s">
        <v>11</v>
      </c>
      <c r="C9" s="5" t="s">
        <v>12</v>
      </c>
      <c r="D9" s="5"/>
      <c r="E9" s="5"/>
      <c r="F9" s="5"/>
      <c r="G9" s="5"/>
      <c r="H9" s="5"/>
    </row>
    <row r="11" customFormat="false" ht="15" hidden="false" customHeight="true" outlineLevel="0" collapsed="false">
      <c r="A11" s="3" t="s">
        <v>13</v>
      </c>
      <c r="B11" s="3"/>
      <c r="C11" s="3"/>
      <c r="D11" s="3"/>
      <c r="E11" s="3"/>
      <c r="F11" s="3"/>
      <c r="G11" s="3"/>
      <c r="H11" s="3"/>
    </row>
    <row r="12" customFormat="false" ht="21.75" hidden="false" customHeight="true" outlineLevel="0" collapsed="false">
      <c r="A12" s="6" t="s">
        <v>14</v>
      </c>
      <c r="B12" s="6" t="s">
        <v>15</v>
      </c>
      <c r="C12" s="6" t="s">
        <v>16</v>
      </c>
      <c r="D12" s="6" t="s">
        <v>17</v>
      </c>
      <c r="E12" s="6" t="s">
        <v>18</v>
      </c>
      <c r="F12" s="6" t="s">
        <v>19</v>
      </c>
      <c r="G12" s="6" t="s">
        <v>20</v>
      </c>
      <c r="H12" s="6" t="s">
        <v>21</v>
      </c>
    </row>
    <row r="13" customFormat="false" ht="18" hidden="false" customHeight="true" outlineLevel="0" collapsed="false">
      <c r="A13" s="7" t="s">
        <v>22</v>
      </c>
      <c r="B13" s="7"/>
      <c r="C13" s="7"/>
      <c r="D13" s="7"/>
      <c r="E13" s="7"/>
      <c r="F13" s="7"/>
      <c r="G13" s="7"/>
      <c r="H13" s="7"/>
    </row>
    <row r="14" customFormat="false" ht="19.5" hidden="false" customHeight="true" outlineLevel="0" collapsed="false">
      <c r="A14" s="8" t="n">
        <v>1</v>
      </c>
      <c r="B14" s="9" t="s">
        <v>23</v>
      </c>
      <c r="C14" s="9" t="s">
        <v>24</v>
      </c>
      <c r="D14" s="8" t="s">
        <v>25</v>
      </c>
      <c r="E14" s="10" t="n">
        <v>38000</v>
      </c>
      <c r="F14" s="11" t="n">
        <v>1</v>
      </c>
      <c r="G14" s="11" t="n">
        <v>36</v>
      </c>
      <c r="H14" s="12" t="n">
        <f aca="false">E14*F14*G14</f>
        <v>1368000</v>
      </c>
    </row>
    <row r="15" customFormat="false" ht="19.5" hidden="false" customHeight="true" outlineLevel="0" collapsed="false">
      <c r="A15" s="8" t="n">
        <v>2</v>
      </c>
      <c r="B15" s="9" t="s">
        <v>26</v>
      </c>
      <c r="C15" s="9" t="s">
        <v>27</v>
      </c>
      <c r="D15" s="8" t="s">
        <v>25</v>
      </c>
      <c r="E15" s="10" t="n">
        <v>32000</v>
      </c>
      <c r="F15" s="11" t="n">
        <v>1</v>
      </c>
      <c r="G15" s="11" t="n">
        <v>24</v>
      </c>
      <c r="H15" s="12" t="n">
        <f aca="false">E15*F15*G15</f>
        <v>768000</v>
      </c>
    </row>
    <row r="16" customFormat="false" ht="19.5" hidden="false" customHeight="true" outlineLevel="0" collapsed="false">
      <c r="A16" s="8" t="n">
        <v>3</v>
      </c>
      <c r="B16" s="9" t="s">
        <v>28</v>
      </c>
      <c r="C16" s="9" t="s">
        <v>29</v>
      </c>
      <c r="D16" s="8" t="s">
        <v>25</v>
      </c>
      <c r="E16" s="10" t="n">
        <v>28000</v>
      </c>
      <c r="F16" s="11" t="n">
        <v>1</v>
      </c>
      <c r="G16" s="11" t="n">
        <v>36</v>
      </c>
      <c r="H16" s="12" t="n">
        <f aca="false">E16*F16*G16</f>
        <v>1008000</v>
      </c>
    </row>
    <row r="17" customFormat="false" ht="19.5" hidden="false" customHeight="true" outlineLevel="0" collapsed="false">
      <c r="A17" s="8" t="n">
        <v>4</v>
      </c>
      <c r="B17" s="9" t="s">
        <v>30</v>
      </c>
      <c r="C17" s="9" t="s">
        <v>31</v>
      </c>
      <c r="D17" s="8" t="s">
        <v>25</v>
      </c>
      <c r="E17" s="10" t="n">
        <v>25000</v>
      </c>
      <c r="F17" s="11" t="n">
        <v>1</v>
      </c>
      <c r="G17" s="11" t="n">
        <v>36</v>
      </c>
      <c r="H17" s="12" t="n">
        <f aca="false">E17*F17*G17</f>
        <v>900000</v>
      </c>
    </row>
    <row r="18" customFormat="false" ht="18" hidden="false" customHeight="true" outlineLevel="0" collapsed="false">
      <c r="A18" s="13" t="s">
        <v>32</v>
      </c>
      <c r="B18" s="13"/>
      <c r="C18" s="13"/>
      <c r="D18" s="13"/>
      <c r="E18" s="13"/>
      <c r="F18" s="13"/>
      <c r="G18" s="13"/>
      <c r="H18" s="13"/>
    </row>
    <row r="19" customFormat="false" ht="19.5" hidden="false" customHeight="true" outlineLevel="0" collapsed="false">
      <c r="A19" s="14" t="n">
        <v>5</v>
      </c>
      <c r="B19" s="15" t="s">
        <v>33</v>
      </c>
      <c r="C19" s="15" t="s">
        <v>34</v>
      </c>
      <c r="D19" s="14" t="s">
        <v>25</v>
      </c>
      <c r="E19" s="16" t="n">
        <v>30000</v>
      </c>
      <c r="F19" s="17" t="n">
        <v>1</v>
      </c>
      <c r="G19" s="17" t="n">
        <v>36</v>
      </c>
      <c r="H19" s="18" t="n">
        <f aca="false">E19*F19*G19</f>
        <v>1080000</v>
      </c>
    </row>
    <row r="20" customFormat="false" ht="19.5" hidden="false" customHeight="true" outlineLevel="0" collapsed="false">
      <c r="A20" s="14" t="n">
        <v>6</v>
      </c>
      <c r="B20" s="15" t="s">
        <v>35</v>
      </c>
      <c r="C20" s="15" t="s">
        <v>36</v>
      </c>
      <c r="D20" s="14" t="s">
        <v>25</v>
      </c>
      <c r="E20" s="16" t="n">
        <v>22000</v>
      </c>
      <c r="F20" s="17" t="n">
        <v>1</v>
      </c>
      <c r="G20" s="17" t="n">
        <v>30</v>
      </c>
      <c r="H20" s="18" t="n">
        <f aca="false">E20*F20*G20</f>
        <v>660000</v>
      </c>
    </row>
    <row r="21" customFormat="false" ht="19.5" hidden="false" customHeight="true" outlineLevel="0" collapsed="false">
      <c r="A21" s="14" t="n">
        <v>7</v>
      </c>
      <c r="B21" s="15" t="s">
        <v>37</v>
      </c>
      <c r="C21" s="15" t="s">
        <v>38</v>
      </c>
      <c r="D21" s="14" t="s">
        <v>25</v>
      </c>
      <c r="E21" s="16" t="n">
        <v>20000</v>
      </c>
      <c r="F21" s="17" t="n">
        <v>1</v>
      </c>
      <c r="G21" s="17" t="n">
        <v>30</v>
      </c>
      <c r="H21" s="18" t="n">
        <f aca="false">E21*F21*G21</f>
        <v>600000</v>
      </c>
    </row>
    <row r="22" customFormat="false" ht="19.5" hidden="false" customHeight="true" outlineLevel="0" collapsed="false">
      <c r="A22" s="14" t="n">
        <v>8</v>
      </c>
      <c r="B22" s="15" t="s">
        <v>39</v>
      </c>
      <c r="C22" s="15" t="s">
        <v>40</v>
      </c>
      <c r="D22" s="14" t="s">
        <v>25</v>
      </c>
      <c r="E22" s="16" t="n">
        <v>18000</v>
      </c>
      <c r="F22" s="17" t="n">
        <v>1</v>
      </c>
      <c r="G22" s="17" t="n">
        <v>24</v>
      </c>
      <c r="H22" s="18" t="n">
        <f aca="false">E22*F22*G22</f>
        <v>432000</v>
      </c>
    </row>
    <row r="23" customFormat="false" ht="19.5" hidden="false" customHeight="true" outlineLevel="0" collapsed="false">
      <c r="A23" s="14" t="n">
        <v>9</v>
      </c>
      <c r="B23" s="15" t="s">
        <v>41</v>
      </c>
      <c r="C23" s="15" t="s">
        <v>42</v>
      </c>
      <c r="D23" s="14" t="s">
        <v>25</v>
      </c>
      <c r="E23" s="16" t="n">
        <v>20000</v>
      </c>
      <c r="F23" s="17" t="n">
        <v>1</v>
      </c>
      <c r="G23" s="17" t="n">
        <v>30</v>
      </c>
      <c r="H23" s="18" t="n">
        <f aca="false">E23*F23*G23</f>
        <v>600000</v>
      </c>
    </row>
    <row r="24" customFormat="false" ht="19.5" hidden="false" customHeight="true" outlineLevel="0" collapsed="false">
      <c r="A24" s="14" t="n">
        <v>10</v>
      </c>
      <c r="B24" s="15" t="s">
        <v>43</v>
      </c>
      <c r="C24" s="15" t="s">
        <v>44</v>
      </c>
      <c r="D24" s="14" t="s">
        <v>25</v>
      </c>
      <c r="E24" s="16" t="n">
        <v>20000</v>
      </c>
      <c r="F24" s="17" t="n">
        <v>1</v>
      </c>
      <c r="G24" s="17" t="n">
        <v>24</v>
      </c>
      <c r="H24" s="18" t="n">
        <f aca="false">E24*F24*G24</f>
        <v>480000</v>
      </c>
    </row>
    <row r="25" customFormat="false" ht="19.5" hidden="false" customHeight="true" outlineLevel="0" collapsed="false">
      <c r="A25" s="14" t="n">
        <v>11</v>
      </c>
      <c r="B25" s="15" t="s">
        <v>45</v>
      </c>
      <c r="C25" s="15" t="s">
        <v>46</v>
      </c>
      <c r="D25" s="14" t="s">
        <v>47</v>
      </c>
      <c r="E25" s="16" t="n">
        <v>9000</v>
      </c>
      <c r="F25" s="17" t="n">
        <v>1</v>
      </c>
      <c r="G25" s="17" t="n">
        <v>30</v>
      </c>
      <c r="H25" s="18" t="n">
        <f aca="false">E25*F25*G25</f>
        <v>270000</v>
      </c>
    </row>
    <row r="26" customFormat="false" ht="19.5" hidden="false" customHeight="true" outlineLevel="0" collapsed="false">
      <c r="A26" s="14" t="n">
        <v>12</v>
      </c>
      <c r="B26" s="15" t="s">
        <v>48</v>
      </c>
      <c r="C26" s="15" t="s">
        <v>49</v>
      </c>
      <c r="D26" s="14" t="s">
        <v>47</v>
      </c>
      <c r="E26" s="16" t="n">
        <v>9000</v>
      </c>
      <c r="F26" s="17" t="n">
        <v>1</v>
      </c>
      <c r="G26" s="17" t="n">
        <v>24</v>
      </c>
      <c r="H26" s="18" t="n">
        <f aca="false">E26*F26*G26</f>
        <v>216000</v>
      </c>
    </row>
    <row r="27" customFormat="false" ht="19.5" hidden="false" customHeight="true" outlineLevel="0" collapsed="false">
      <c r="A27" s="14" t="n">
        <v>13</v>
      </c>
      <c r="B27" s="15" t="s">
        <v>50</v>
      </c>
      <c r="C27" s="15" t="s">
        <v>51</v>
      </c>
      <c r="D27" s="14" t="s">
        <v>47</v>
      </c>
      <c r="E27" s="16" t="n">
        <v>9000</v>
      </c>
      <c r="F27" s="17" t="n">
        <v>1</v>
      </c>
      <c r="G27" s="17" t="n">
        <v>24</v>
      </c>
      <c r="H27" s="18" t="n">
        <f aca="false">E27*F27*G27</f>
        <v>216000</v>
      </c>
    </row>
    <row r="28" customFormat="false" ht="18" hidden="false" customHeight="true" outlineLevel="0" collapsed="false">
      <c r="A28" s="13" t="s">
        <v>52</v>
      </c>
      <c r="B28" s="13"/>
      <c r="C28" s="13"/>
      <c r="D28" s="13"/>
      <c r="E28" s="13"/>
      <c r="F28" s="13"/>
      <c r="G28" s="13"/>
      <c r="H28" s="13"/>
    </row>
    <row r="29" customFormat="false" ht="19.5" hidden="false" customHeight="true" outlineLevel="0" collapsed="false">
      <c r="A29" s="14" t="n">
        <v>14</v>
      </c>
      <c r="B29" s="15" t="s">
        <v>53</v>
      </c>
      <c r="C29" s="15" t="s">
        <v>54</v>
      </c>
      <c r="D29" s="14" t="s">
        <v>25</v>
      </c>
      <c r="E29" s="16" t="n">
        <v>28000</v>
      </c>
      <c r="F29" s="17" t="n">
        <v>1</v>
      </c>
      <c r="G29" s="17" t="n">
        <v>36</v>
      </c>
      <c r="H29" s="18" t="n">
        <f aca="false">E29*F29*G29</f>
        <v>1008000</v>
      </c>
    </row>
    <row r="30" customFormat="false" ht="19.5" hidden="false" customHeight="true" outlineLevel="0" collapsed="false">
      <c r="A30" s="14" t="n">
        <v>15</v>
      </c>
      <c r="B30" s="15" t="s">
        <v>55</v>
      </c>
      <c r="C30" s="15" t="s">
        <v>56</v>
      </c>
      <c r="D30" s="14" t="s">
        <v>25</v>
      </c>
      <c r="E30" s="16" t="n">
        <v>22000</v>
      </c>
      <c r="F30" s="17" t="n">
        <v>1</v>
      </c>
      <c r="G30" s="17" t="n">
        <v>36</v>
      </c>
      <c r="H30" s="18" t="n">
        <f aca="false">E30*F30*G30</f>
        <v>792000</v>
      </c>
    </row>
    <row r="31" customFormat="false" ht="19.5" hidden="false" customHeight="true" outlineLevel="0" collapsed="false">
      <c r="A31" s="14" t="n">
        <v>16</v>
      </c>
      <c r="B31" s="15" t="s">
        <v>57</v>
      </c>
      <c r="C31" s="15" t="s">
        <v>58</v>
      </c>
      <c r="D31" s="14" t="s">
        <v>25</v>
      </c>
      <c r="E31" s="16" t="n">
        <v>18000</v>
      </c>
      <c r="F31" s="17" t="n">
        <v>1</v>
      </c>
      <c r="G31" s="17" t="n">
        <v>30</v>
      </c>
      <c r="H31" s="18" t="n">
        <f aca="false">E31*F31*G31</f>
        <v>540000</v>
      </c>
    </row>
    <row r="32" customFormat="false" ht="19.5" hidden="false" customHeight="true" outlineLevel="0" collapsed="false">
      <c r="A32" s="14" t="n">
        <v>17</v>
      </c>
      <c r="B32" s="15" t="s">
        <v>59</v>
      </c>
      <c r="C32" s="15" t="s">
        <v>60</v>
      </c>
      <c r="D32" s="14" t="s">
        <v>47</v>
      </c>
      <c r="E32" s="16" t="n">
        <v>9000</v>
      </c>
      <c r="F32" s="17" t="n">
        <v>2</v>
      </c>
      <c r="G32" s="17" t="n">
        <v>30</v>
      </c>
      <c r="H32" s="18" t="n">
        <f aca="false">E32*F32*G32</f>
        <v>540000</v>
      </c>
    </row>
    <row r="33" customFormat="false" ht="19.5" hidden="false" customHeight="true" outlineLevel="0" collapsed="false">
      <c r="A33" s="14" t="n">
        <v>18</v>
      </c>
      <c r="B33" s="15" t="s">
        <v>61</v>
      </c>
      <c r="C33" s="15" t="s">
        <v>62</v>
      </c>
      <c r="D33" s="14" t="s">
        <v>25</v>
      </c>
      <c r="E33" s="16" t="n">
        <v>18000</v>
      </c>
      <c r="F33" s="17" t="n">
        <v>1</v>
      </c>
      <c r="G33" s="17" t="n">
        <v>24</v>
      </c>
      <c r="H33" s="18" t="n">
        <f aca="false">E33*F33*G33</f>
        <v>432000</v>
      </c>
    </row>
    <row r="34" customFormat="false" ht="19.5" hidden="false" customHeight="true" outlineLevel="0" collapsed="false">
      <c r="A34" s="14" t="n">
        <v>19</v>
      </c>
      <c r="B34" s="15" t="s">
        <v>63</v>
      </c>
      <c r="C34" s="15" t="s">
        <v>64</v>
      </c>
      <c r="D34" s="14" t="s">
        <v>47</v>
      </c>
      <c r="E34" s="16" t="n">
        <v>8500</v>
      </c>
      <c r="F34" s="17" t="n">
        <v>1</v>
      </c>
      <c r="G34" s="17" t="n">
        <v>24</v>
      </c>
      <c r="H34" s="18" t="n">
        <f aca="false">E34*F34*G34</f>
        <v>204000</v>
      </c>
    </row>
    <row r="35" customFormat="false" ht="18" hidden="false" customHeight="true" outlineLevel="0" collapsed="false">
      <c r="A35" s="13" t="s">
        <v>65</v>
      </c>
      <c r="B35" s="13"/>
      <c r="C35" s="13"/>
      <c r="D35" s="13"/>
      <c r="E35" s="13"/>
      <c r="F35" s="13"/>
      <c r="G35" s="13"/>
      <c r="H35" s="13"/>
    </row>
    <row r="36" customFormat="false" ht="19.5" hidden="false" customHeight="true" outlineLevel="0" collapsed="false">
      <c r="A36" s="14" t="n">
        <v>20</v>
      </c>
      <c r="B36" s="15" t="s">
        <v>66</v>
      </c>
      <c r="C36" s="15" t="s">
        <v>67</v>
      </c>
      <c r="D36" s="14" t="s">
        <v>25</v>
      </c>
      <c r="E36" s="16" t="n">
        <v>26000</v>
      </c>
      <c r="F36" s="17" t="n">
        <v>1</v>
      </c>
      <c r="G36" s="17" t="n">
        <v>36</v>
      </c>
      <c r="H36" s="18" t="n">
        <f aca="false">E36*F36*G36</f>
        <v>936000</v>
      </c>
    </row>
    <row r="37" customFormat="false" ht="19.5" hidden="false" customHeight="true" outlineLevel="0" collapsed="false">
      <c r="A37" s="14" t="n">
        <v>21</v>
      </c>
      <c r="B37" s="15" t="s">
        <v>68</v>
      </c>
      <c r="C37" s="15" t="s">
        <v>69</v>
      </c>
      <c r="D37" s="14" t="s">
        <v>25</v>
      </c>
      <c r="E37" s="16" t="n">
        <v>20000</v>
      </c>
      <c r="F37" s="17" t="n">
        <v>1</v>
      </c>
      <c r="G37" s="17" t="n">
        <v>30</v>
      </c>
      <c r="H37" s="18" t="n">
        <f aca="false">E37*F37*G37</f>
        <v>600000</v>
      </c>
    </row>
    <row r="38" customFormat="false" ht="19.5" hidden="false" customHeight="true" outlineLevel="0" collapsed="false">
      <c r="A38" s="14" t="n">
        <v>22</v>
      </c>
      <c r="B38" s="15" t="s">
        <v>70</v>
      </c>
      <c r="C38" s="15" t="s">
        <v>71</v>
      </c>
      <c r="D38" s="14" t="s">
        <v>25</v>
      </c>
      <c r="E38" s="16" t="n">
        <v>22000</v>
      </c>
      <c r="F38" s="17" t="n">
        <v>1</v>
      </c>
      <c r="G38" s="17" t="n">
        <v>36</v>
      </c>
      <c r="H38" s="18" t="n">
        <f aca="false">E38*F38*G38</f>
        <v>792000</v>
      </c>
    </row>
    <row r="39" customFormat="false" ht="19.5" hidden="false" customHeight="true" outlineLevel="0" collapsed="false">
      <c r="A39" s="14" t="n">
        <v>23</v>
      </c>
      <c r="B39" s="15" t="s">
        <v>72</v>
      </c>
      <c r="C39" s="15" t="s">
        <v>73</v>
      </c>
      <c r="D39" s="14" t="s">
        <v>47</v>
      </c>
      <c r="E39" s="16" t="n">
        <v>10000</v>
      </c>
      <c r="F39" s="17" t="n">
        <v>1</v>
      </c>
      <c r="G39" s="17" t="n">
        <v>36</v>
      </c>
      <c r="H39" s="18" t="n">
        <f aca="false">E39*F39*G39</f>
        <v>360000</v>
      </c>
    </row>
    <row r="40" customFormat="false" ht="18" hidden="false" customHeight="true" outlineLevel="0" collapsed="false">
      <c r="A40" s="7" t="s">
        <v>74</v>
      </c>
      <c r="B40" s="7"/>
      <c r="C40" s="7"/>
      <c r="D40" s="7"/>
      <c r="E40" s="7"/>
      <c r="F40" s="7"/>
      <c r="G40" s="7"/>
      <c r="H40" s="7"/>
    </row>
    <row r="41" customFormat="false" ht="19.5" hidden="false" customHeight="true" outlineLevel="0" collapsed="false">
      <c r="A41" s="8" t="n">
        <v>24</v>
      </c>
      <c r="B41" s="9" t="s">
        <v>75</v>
      </c>
      <c r="C41" s="9" t="s">
        <v>76</v>
      </c>
      <c r="D41" s="8" t="s">
        <v>25</v>
      </c>
      <c r="E41" s="10" t="n">
        <v>25000</v>
      </c>
      <c r="F41" s="11" t="n">
        <v>1</v>
      </c>
      <c r="G41" s="11" t="n">
        <v>36</v>
      </c>
      <c r="H41" s="12" t="n">
        <f aca="false">E41*F41*G41</f>
        <v>900000</v>
      </c>
    </row>
    <row r="42" customFormat="false" ht="19.5" hidden="false" customHeight="true" outlineLevel="0" collapsed="false">
      <c r="A42" s="8" t="n">
        <v>25</v>
      </c>
      <c r="B42" s="9" t="s">
        <v>77</v>
      </c>
      <c r="C42" s="9" t="s">
        <v>78</v>
      </c>
      <c r="D42" s="8" t="s">
        <v>25</v>
      </c>
      <c r="E42" s="10" t="n">
        <v>22000</v>
      </c>
      <c r="F42" s="11" t="n">
        <v>1</v>
      </c>
      <c r="G42" s="11" t="n">
        <v>18</v>
      </c>
      <c r="H42" s="12" t="n">
        <f aca="false">E42*F42*G42</f>
        <v>396000</v>
      </c>
    </row>
    <row r="43" customFormat="false" ht="19.5" hidden="false" customHeight="true" outlineLevel="0" collapsed="false">
      <c r="A43" s="8" t="n">
        <v>26</v>
      </c>
      <c r="B43" s="9" t="s">
        <v>79</v>
      </c>
      <c r="C43" s="9" t="s">
        <v>80</v>
      </c>
      <c r="D43" s="8" t="s">
        <v>25</v>
      </c>
      <c r="E43" s="10" t="n">
        <v>22000</v>
      </c>
      <c r="F43" s="11" t="n">
        <v>1</v>
      </c>
      <c r="G43" s="11" t="n">
        <v>18</v>
      </c>
      <c r="H43" s="12" t="n">
        <f aca="false">E43*F43*G43</f>
        <v>396000</v>
      </c>
    </row>
    <row r="44" customFormat="false" ht="19.5" hidden="false" customHeight="true" outlineLevel="0" collapsed="false">
      <c r="A44" s="8" t="n">
        <v>27</v>
      </c>
      <c r="B44" s="9" t="s">
        <v>81</v>
      </c>
      <c r="C44" s="9" t="s">
        <v>82</v>
      </c>
      <c r="D44" s="8" t="s">
        <v>25</v>
      </c>
      <c r="E44" s="10" t="n">
        <v>20000</v>
      </c>
      <c r="F44" s="11" t="n">
        <v>1</v>
      </c>
      <c r="G44" s="11" t="n">
        <v>18</v>
      </c>
      <c r="H44" s="12" t="n">
        <f aca="false">E44*F44*G44</f>
        <v>360000</v>
      </c>
    </row>
    <row r="45" customFormat="false" ht="19.5" hidden="false" customHeight="true" outlineLevel="0" collapsed="false">
      <c r="A45" s="8" t="n">
        <v>28</v>
      </c>
      <c r="B45" s="9" t="s">
        <v>83</v>
      </c>
      <c r="C45" s="9" t="s">
        <v>84</v>
      </c>
      <c r="D45" s="8" t="s">
        <v>25</v>
      </c>
      <c r="E45" s="10" t="n">
        <v>20000</v>
      </c>
      <c r="F45" s="11" t="n">
        <v>1</v>
      </c>
      <c r="G45" s="11" t="n">
        <v>36</v>
      </c>
      <c r="H45" s="12" t="n">
        <f aca="false">E45*F45*G45</f>
        <v>720000</v>
      </c>
    </row>
    <row r="46" customFormat="false" ht="19.5" hidden="false" customHeight="true" outlineLevel="0" collapsed="false">
      <c r="A46" s="8" t="n">
        <v>29</v>
      </c>
      <c r="B46" s="9" t="s">
        <v>85</v>
      </c>
      <c r="C46" s="9" t="s">
        <v>86</v>
      </c>
      <c r="D46" s="8" t="s">
        <v>25</v>
      </c>
      <c r="E46" s="10" t="n">
        <v>22000</v>
      </c>
      <c r="F46" s="11" t="n">
        <v>1</v>
      </c>
      <c r="G46" s="11" t="n">
        <v>12</v>
      </c>
      <c r="H46" s="12" t="n">
        <f aca="false">E46*F46*G46</f>
        <v>264000</v>
      </c>
    </row>
    <row r="47" customFormat="false" ht="19.5" hidden="false" customHeight="true" outlineLevel="0" collapsed="false">
      <c r="A47" s="19" t="n">
        <v>30</v>
      </c>
      <c r="B47" s="20" t="s">
        <v>87</v>
      </c>
      <c r="C47" s="20" t="s">
        <v>88</v>
      </c>
      <c r="D47" s="19" t="s">
        <v>47</v>
      </c>
      <c r="E47" s="21" t="n">
        <v>12000</v>
      </c>
      <c r="F47" s="22" t="n">
        <v>1</v>
      </c>
      <c r="G47" s="22" t="n">
        <v>12</v>
      </c>
      <c r="H47" s="23" t="n">
        <f aca="false">E47*F47*G47</f>
        <v>144000</v>
      </c>
    </row>
    <row r="48" customFormat="false" ht="19.5" hidden="false" customHeight="true" outlineLevel="0" collapsed="false">
      <c r="A48" s="19" t="n">
        <v>31</v>
      </c>
      <c r="B48" s="20" t="s">
        <v>89</v>
      </c>
      <c r="C48" s="20" t="s">
        <v>90</v>
      </c>
      <c r="D48" s="19" t="s">
        <v>47</v>
      </c>
      <c r="E48" s="21" t="n">
        <v>8500</v>
      </c>
      <c r="F48" s="22" t="n">
        <v>2</v>
      </c>
      <c r="G48" s="22" t="n">
        <v>36</v>
      </c>
      <c r="H48" s="23" t="n">
        <f aca="false">E48*F48*G48</f>
        <v>612000</v>
      </c>
    </row>
    <row r="49" customFormat="false" ht="19.5" hidden="false" customHeight="true" outlineLevel="0" collapsed="false">
      <c r="A49" s="19" t="n">
        <v>32</v>
      </c>
      <c r="B49" s="20" t="s">
        <v>91</v>
      </c>
      <c r="C49" s="20" t="s">
        <v>92</v>
      </c>
      <c r="D49" s="19" t="s">
        <v>47</v>
      </c>
      <c r="E49" s="21" t="n">
        <v>8500</v>
      </c>
      <c r="F49" s="22" t="n">
        <v>2</v>
      </c>
      <c r="G49" s="22" t="n">
        <v>36</v>
      </c>
      <c r="H49" s="23" t="n">
        <f aca="false">E49*F49*G49</f>
        <v>612000</v>
      </c>
    </row>
    <row r="50" customFormat="false" ht="19.5" hidden="false" customHeight="true" outlineLevel="0" collapsed="false">
      <c r="A50" s="19" t="n">
        <v>33</v>
      </c>
      <c r="B50" s="20" t="s">
        <v>93</v>
      </c>
      <c r="C50" s="20" t="s">
        <v>94</v>
      </c>
      <c r="D50" s="19" t="s">
        <v>47</v>
      </c>
      <c r="E50" s="21" t="n">
        <v>8500</v>
      </c>
      <c r="F50" s="22" t="n">
        <v>2</v>
      </c>
      <c r="G50" s="22" t="n">
        <v>36</v>
      </c>
      <c r="H50" s="23" t="n">
        <f aca="false">E50*F50*G50</f>
        <v>612000</v>
      </c>
    </row>
    <row r="51" customFormat="false" ht="19.5" hidden="false" customHeight="true" outlineLevel="0" collapsed="false">
      <c r="A51" s="19" t="n">
        <v>34</v>
      </c>
      <c r="B51" s="20" t="s">
        <v>95</v>
      </c>
      <c r="C51" s="20" t="s">
        <v>96</v>
      </c>
      <c r="D51" s="19" t="s">
        <v>47</v>
      </c>
      <c r="E51" s="21" t="n">
        <v>8500</v>
      </c>
      <c r="F51" s="22" t="n">
        <v>2</v>
      </c>
      <c r="G51" s="22" t="n">
        <v>30</v>
      </c>
      <c r="H51" s="23" t="n">
        <f aca="false">E51*F51*G51</f>
        <v>510000</v>
      </c>
    </row>
    <row r="52" customFormat="false" ht="19.5" hidden="false" customHeight="true" outlineLevel="0" collapsed="false">
      <c r="A52" s="19" t="n">
        <v>35</v>
      </c>
      <c r="B52" s="20" t="s">
        <v>97</v>
      </c>
      <c r="C52" s="20" t="s">
        <v>98</v>
      </c>
      <c r="D52" s="19" t="s">
        <v>47</v>
      </c>
      <c r="E52" s="21" t="n">
        <v>8500</v>
      </c>
      <c r="F52" s="22" t="n">
        <v>2</v>
      </c>
      <c r="G52" s="22" t="n">
        <v>24</v>
      </c>
      <c r="H52" s="23" t="n">
        <f aca="false">E52*F52*G52</f>
        <v>408000</v>
      </c>
    </row>
    <row r="53" customFormat="false" ht="18" hidden="false" customHeight="true" outlineLevel="0" collapsed="false">
      <c r="A53" s="7" t="s">
        <v>99</v>
      </c>
      <c r="B53" s="7"/>
      <c r="C53" s="7"/>
      <c r="D53" s="7"/>
      <c r="E53" s="7"/>
      <c r="F53" s="7"/>
      <c r="G53" s="7"/>
      <c r="H53" s="7"/>
    </row>
    <row r="54" customFormat="false" ht="19.5" hidden="false" customHeight="true" outlineLevel="0" collapsed="false">
      <c r="A54" s="8" t="n">
        <v>36</v>
      </c>
      <c r="B54" s="9" t="s">
        <v>100</v>
      </c>
      <c r="C54" s="9" t="s">
        <v>101</v>
      </c>
      <c r="D54" s="8" t="s">
        <v>25</v>
      </c>
      <c r="E54" s="10" t="n">
        <v>28000</v>
      </c>
      <c r="F54" s="11" t="n">
        <v>1</v>
      </c>
      <c r="G54" s="11" t="n">
        <v>36</v>
      </c>
      <c r="H54" s="12" t="n">
        <f aca="false">E54*F54*G54</f>
        <v>1008000</v>
      </c>
    </row>
    <row r="55" customFormat="false" ht="19.5" hidden="false" customHeight="true" outlineLevel="0" collapsed="false">
      <c r="A55" s="8" t="n">
        <v>37</v>
      </c>
      <c r="B55" s="9" t="s">
        <v>102</v>
      </c>
      <c r="C55" s="9" t="s">
        <v>103</v>
      </c>
      <c r="D55" s="8" t="s">
        <v>25</v>
      </c>
      <c r="E55" s="10" t="n">
        <v>25000</v>
      </c>
      <c r="F55" s="11" t="n">
        <v>1</v>
      </c>
      <c r="G55" s="11" t="n">
        <v>24</v>
      </c>
      <c r="H55" s="12" t="n">
        <f aca="false">E55*F55*G55</f>
        <v>600000</v>
      </c>
    </row>
    <row r="56" customFormat="false" ht="19.5" hidden="false" customHeight="true" outlineLevel="0" collapsed="false">
      <c r="A56" s="8" t="n">
        <v>38</v>
      </c>
      <c r="B56" s="9" t="s">
        <v>104</v>
      </c>
      <c r="C56" s="9" t="s">
        <v>105</v>
      </c>
      <c r="D56" s="8" t="s">
        <v>25</v>
      </c>
      <c r="E56" s="10" t="n">
        <v>25000</v>
      </c>
      <c r="F56" s="11" t="n">
        <v>1</v>
      </c>
      <c r="G56" s="11" t="n">
        <v>24</v>
      </c>
      <c r="H56" s="12" t="n">
        <f aca="false">E56*F56*G56</f>
        <v>600000</v>
      </c>
    </row>
    <row r="57" customFormat="false" ht="19.5" hidden="false" customHeight="true" outlineLevel="0" collapsed="false">
      <c r="A57" s="8" t="n">
        <v>39</v>
      </c>
      <c r="B57" s="9" t="s">
        <v>106</v>
      </c>
      <c r="C57" s="9" t="s">
        <v>107</v>
      </c>
      <c r="D57" s="8" t="s">
        <v>25</v>
      </c>
      <c r="E57" s="10" t="n">
        <v>24000</v>
      </c>
      <c r="F57" s="11" t="n">
        <v>1</v>
      </c>
      <c r="G57" s="11" t="n">
        <v>30</v>
      </c>
      <c r="H57" s="12" t="n">
        <f aca="false">E57*F57*G57</f>
        <v>720000</v>
      </c>
    </row>
    <row r="58" customFormat="false" ht="19.5" hidden="false" customHeight="true" outlineLevel="0" collapsed="false">
      <c r="A58" s="19" t="n">
        <v>40</v>
      </c>
      <c r="B58" s="20" t="s">
        <v>108</v>
      </c>
      <c r="C58" s="20" t="s">
        <v>109</v>
      </c>
      <c r="D58" s="19" t="s">
        <v>47</v>
      </c>
      <c r="E58" s="21" t="n">
        <v>10000</v>
      </c>
      <c r="F58" s="22" t="n">
        <v>2</v>
      </c>
      <c r="G58" s="22" t="n">
        <v>36</v>
      </c>
      <c r="H58" s="23" t="n">
        <f aca="false">E58*F58*G58</f>
        <v>720000</v>
      </c>
    </row>
    <row r="59" customFormat="false" ht="19.5" hidden="false" customHeight="true" outlineLevel="0" collapsed="false">
      <c r="A59" s="19" t="n">
        <v>41</v>
      </c>
      <c r="B59" s="20" t="s">
        <v>110</v>
      </c>
      <c r="C59" s="20" t="s">
        <v>111</v>
      </c>
      <c r="D59" s="19" t="s">
        <v>47</v>
      </c>
      <c r="E59" s="21" t="n">
        <v>10000</v>
      </c>
      <c r="F59" s="22" t="n">
        <v>2</v>
      </c>
      <c r="G59" s="22" t="n">
        <v>30</v>
      </c>
      <c r="H59" s="23" t="n">
        <f aca="false">E59*F59*G59</f>
        <v>600000</v>
      </c>
    </row>
    <row r="60" customFormat="false" ht="19.5" hidden="false" customHeight="true" outlineLevel="0" collapsed="false">
      <c r="A60" s="19" t="n">
        <v>42</v>
      </c>
      <c r="B60" s="20" t="s">
        <v>112</v>
      </c>
      <c r="C60" s="20" t="s">
        <v>113</v>
      </c>
      <c r="D60" s="19" t="s">
        <v>47</v>
      </c>
      <c r="E60" s="21" t="n">
        <v>9500</v>
      </c>
      <c r="F60" s="22" t="n">
        <v>3</v>
      </c>
      <c r="G60" s="22" t="n">
        <v>30</v>
      </c>
      <c r="H60" s="23" t="n">
        <f aca="false">E60*F60*G60</f>
        <v>855000</v>
      </c>
    </row>
    <row r="61" customFormat="false" ht="19.5" hidden="false" customHeight="true" outlineLevel="0" collapsed="false">
      <c r="A61" s="19" t="n">
        <v>43</v>
      </c>
      <c r="B61" s="20" t="s">
        <v>114</v>
      </c>
      <c r="C61" s="20" t="s">
        <v>115</v>
      </c>
      <c r="D61" s="19" t="s">
        <v>47</v>
      </c>
      <c r="E61" s="21" t="n">
        <v>9000</v>
      </c>
      <c r="F61" s="22" t="n">
        <v>2</v>
      </c>
      <c r="G61" s="22" t="n">
        <v>36</v>
      </c>
      <c r="H61" s="23" t="n">
        <f aca="false">E61*F61*G61</f>
        <v>648000</v>
      </c>
    </row>
    <row r="62" customFormat="false" ht="18" hidden="false" customHeight="true" outlineLevel="0" collapsed="false">
      <c r="A62" s="7" t="s">
        <v>116</v>
      </c>
      <c r="B62" s="7"/>
      <c r="C62" s="7"/>
      <c r="D62" s="7"/>
      <c r="E62" s="7"/>
      <c r="F62" s="7"/>
      <c r="G62" s="7"/>
      <c r="H62" s="7"/>
    </row>
    <row r="63" customFormat="false" ht="19.5" hidden="false" customHeight="true" outlineLevel="0" collapsed="false">
      <c r="A63" s="8" t="n">
        <v>44</v>
      </c>
      <c r="B63" s="9" t="s">
        <v>117</v>
      </c>
      <c r="C63" s="9" t="s">
        <v>118</v>
      </c>
      <c r="D63" s="8" t="s">
        <v>25</v>
      </c>
      <c r="E63" s="10" t="n">
        <v>24000</v>
      </c>
      <c r="F63" s="11" t="n">
        <v>1</v>
      </c>
      <c r="G63" s="11" t="n">
        <v>36</v>
      </c>
      <c r="H63" s="12" t="n">
        <f aca="false">E63*F63*G63</f>
        <v>864000</v>
      </c>
    </row>
    <row r="64" customFormat="false" ht="19.5" hidden="false" customHeight="true" outlineLevel="0" collapsed="false">
      <c r="A64" s="8" t="n">
        <v>45</v>
      </c>
      <c r="B64" s="9" t="s">
        <v>119</v>
      </c>
      <c r="C64" s="9" t="s">
        <v>120</v>
      </c>
      <c r="D64" s="8" t="s">
        <v>25</v>
      </c>
      <c r="E64" s="10" t="n">
        <v>22000</v>
      </c>
      <c r="F64" s="11" t="n">
        <v>1</v>
      </c>
      <c r="G64" s="11" t="n">
        <v>24</v>
      </c>
      <c r="H64" s="12" t="n">
        <f aca="false">E64*F64*G64</f>
        <v>528000</v>
      </c>
    </row>
    <row r="65" customFormat="false" ht="19.5" hidden="false" customHeight="true" outlineLevel="0" collapsed="false">
      <c r="A65" s="19" t="n">
        <v>46</v>
      </c>
      <c r="B65" s="20" t="s">
        <v>121</v>
      </c>
      <c r="C65" s="20" t="s">
        <v>122</v>
      </c>
      <c r="D65" s="19" t="s">
        <v>47</v>
      </c>
      <c r="E65" s="21" t="n">
        <v>10000</v>
      </c>
      <c r="F65" s="22" t="n">
        <v>3</v>
      </c>
      <c r="G65" s="22" t="n">
        <v>36</v>
      </c>
      <c r="H65" s="23" t="n">
        <f aca="false">E65*F65*G65</f>
        <v>1080000</v>
      </c>
    </row>
    <row r="66" customFormat="false" ht="19.5" hidden="false" customHeight="true" outlineLevel="0" collapsed="false">
      <c r="A66" s="19" t="n">
        <v>47</v>
      </c>
      <c r="B66" s="20" t="s">
        <v>123</v>
      </c>
      <c r="C66" s="20" t="s">
        <v>124</v>
      </c>
      <c r="D66" s="19" t="s">
        <v>47</v>
      </c>
      <c r="E66" s="21" t="n">
        <v>8500</v>
      </c>
      <c r="F66" s="22" t="n">
        <v>2</v>
      </c>
      <c r="G66" s="22" t="n">
        <v>36</v>
      </c>
      <c r="H66" s="23" t="n">
        <f aca="false">E66*F66*G66</f>
        <v>612000</v>
      </c>
    </row>
    <row r="67" customFormat="false" ht="18" hidden="false" customHeight="true" outlineLevel="0" collapsed="false">
      <c r="A67" s="7" t="s">
        <v>125</v>
      </c>
      <c r="B67" s="7"/>
      <c r="C67" s="7"/>
      <c r="D67" s="7"/>
      <c r="E67" s="7"/>
      <c r="F67" s="7"/>
      <c r="G67" s="7"/>
      <c r="H67" s="7"/>
    </row>
    <row r="68" customFormat="false" ht="19.5" hidden="false" customHeight="true" outlineLevel="0" collapsed="false">
      <c r="A68" s="8" t="n">
        <v>48</v>
      </c>
      <c r="B68" s="9" t="s">
        <v>126</v>
      </c>
      <c r="C68" s="9" t="s">
        <v>127</v>
      </c>
      <c r="D68" s="8" t="s">
        <v>25</v>
      </c>
      <c r="E68" s="10" t="n">
        <v>24000</v>
      </c>
      <c r="F68" s="11" t="n">
        <v>1</v>
      </c>
      <c r="G68" s="11" t="n">
        <v>30</v>
      </c>
      <c r="H68" s="12" t="n">
        <f aca="false">E68*F68*G68</f>
        <v>720000</v>
      </c>
    </row>
    <row r="69" customFormat="false" ht="19.5" hidden="false" customHeight="true" outlineLevel="0" collapsed="false">
      <c r="A69" s="8" t="n">
        <v>49</v>
      </c>
      <c r="B69" s="9" t="s">
        <v>128</v>
      </c>
      <c r="C69" s="9" t="s">
        <v>129</v>
      </c>
      <c r="D69" s="8" t="s">
        <v>25</v>
      </c>
      <c r="E69" s="10" t="n">
        <v>25000</v>
      </c>
      <c r="F69" s="11" t="n">
        <v>1</v>
      </c>
      <c r="G69" s="11" t="n">
        <v>36</v>
      </c>
      <c r="H69" s="12" t="n">
        <f aca="false">E69*F69*G69</f>
        <v>900000</v>
      </c>
    </row>
    <row r="70" customFormat="false" ht="19.5" hidden="false" customHeight="true" outlineLevel="0" collapsed="false">
      <c r="A70" s="8" t="n">
        <v>50</v>
      </c>
      <c r="B70" s="9" t="s">
        <v>130</v>
      </c>
      <c r="C70" s="9" t="s">
        <v>131</v>
      </c>
      <c r="D70" s="8" t="s">
        <v>132</v>
      </c>
      <c r="E70" s="10" t="n">
        <v>30000</v>
      </c>
      <c r="F70" s="11" t="n">
        <v>1</v>
      </c>
      <c r="G70" s="11" t="n">
        <v>36</v>
      </c>
      <c r="H70" s="12" t="n">
        <f aca="false">E70*F70*G70</f>
        <v>1080000</v>
      </c>
    </row>
    <row r="71" customFormat="false" ht="19.5" hidden="false" customHeight="true" outlineLevel="0" collapsed="false">
      <c r="A71" s="8" t="n">
        <v>51</v>
      </c>
      <c r="B71" s="9" t="s">
        <v>133</v>
      </c>
      <c r="C71" s="9" t="s">
        <v>134</v>
      </c>
      <c r="D71" s="8" t="s">
        <v>132</v>
      </c>
      <c r="E71" s="10" t="n">
        <v>28000</v>
      </c>
      <c r="F71" s="11" t="n">
        <v>1</v>
      </c>
      <c r="G71" s="11" t="n">
        <v>24</v>
      </c>
      <c r="H71" s="12" t="n">
        <f aca="false">E71*F71*G71</f>
        <v>672000</v>
      </c>
    </row>
    <row r="72" customFormat="false" ht="19.5" hidden="false" customHeight="true" outlineLevel="0" collapsed="false">
      <c r="A72" s="19" t="n">
        <v>52</v>
      </c>
      <c r="B72" s="20" t="s">
        <v>135</v>
      </c>
      <c r="C72" s="20" t="s">
        <v>136</v>
      </c>
      <c r="D72" s="19" t="s">
        <v>47</v>
      </c>
      <c r="E72" s="21" t="n">
        <v>9500</v>
      </c>
      <c r="F72" s="22" t="n">
        <v>2</v>
      </c>
      <c r="G72" s="22" t="n">
        <v>36</v>
      </c>
      <c r="H72" s="23" t="n">
        <f aca="false">E72*F72*G72</f>
        <v>684000</v>
      </c>
    </row>
    <row r="73" customFormat="false" ht="19.5" hidden="false" customHeight="true" outlineLevel="0" collapsed="false">
      <c r="A73" s="19" t="n">
        <v>53</v>
      </c>
      <c r="B73" s="20" t="s">
        <v>137</v>
      </c>
      <c r="C73" s="20" t="s">
        <v>138</v>
      </c>
      <c r="D73" s="19" t="s">
        <v>47</v>
      </c>
      <c r="E73" s="21" t="n">
        <v>9000</v>
      </c>
      <c r="F73" s="22" t="n">
        <v>2</v>
      </c>
      <c r="G73" s="22" t="n">
        <v>30</v>
      </c>
      <c r="H73" s="23" t="n">
        <f aca="false">E73*F73*G73</f>
        <v>540000</v>
      </c>
    </row>
    <row r="74" customFormat="false" ht="19.5" hidden="false" customHeight="true" outlineLevel="0" collapsed="false">
      <c r="A74" s="19" t="n">
        <v>54</v>
      </c>
      <c r="B74" s="20" t="s">
        <v>139</v>
      </c>
      <c r="C74" s="20" t="s">
        <v>140</v>
      </c>
      <c r="D74" s="19" t="s">
        <v>47</v>
      </c>
      <c r="E74" s="21" t="n">
        <v>9000</v>
      </c>
      <c r="F74" s="22" t="n">
        <v>2</v>
      </c>
      <c r="G74" s="22" t="n">
        <v>36</v>
      </c>
      <c r="H74" s="23" t="n">
        <f aca="false">E74*F74*G74</f>
        <v>648000</v>
      </c>
    </row>
    <row r="75" customFormat="false" ht="19.5" hidden="false" customHeight="true" outlineLevel="0" collapsed="false">
      <c r="A75" s="19" t="n">
        <v>55</v>
      </c>
      <c r="B75" s="20" t="s">
        <v>141</v>
      </c>
      <c r="C75" s="20" t="s">
        <v>142</v>
      </c>
      <c r="D75" s="19" t="s">
        <v>47</v>
      </c>
      <c r="E75" s="21" t="n">
        <v>10000</v>
      </c>
      <c r="F75" s="22" t="n">
        <v>1</v>
      </c>
      <c r="G75" s="22" t="n">
        <v>36</v>
      </c>
      <c r="H75" s="23" t="n">
        <f aca="false">E75*F75*G75</f>
        <v>360000</v>
      </c>
    </row>
    <row r="76" customFormat="false" ht="19.5" hidden="false" customHeight="true" outlineLevel="0" collapsed="false">
      <c r="A76" s="19" t="n">
        <v>56</v>
      </c>
      <c r="B76" s="20" t="s">
        <v>143</v>
      </c>
      <c r="C76" s="20" t="s">
        <v>144</v>
      </c>
      <c r="D76" s="19" t="s">
        <v>47</v>
      </c>
      <c r="E76" s="21" t="n">
        <v>9500</v>
      </c>
      <c r="F76" s="22" t="n">
        <v>1</v>
      </c>
      <c r="G76" s="22" t="n">
        <v>30</v>
      </c>
      <c r="H76" s="23" t="n">
        <f aca="false">E76*F76*G76</f>
        <v>285000</v>
      </c>
    </row>
    <row r="77" customFormat="false" ht="18" hidden="false" customHeight="true" outlineLevel="0" collapsed="false">
      <c r="A77" s="7" t="s">
        <v>145</v>
      </c>
      <c r="B77" s="7"/>
      <c r="C77" s="7"/>
      <c r="D77" s="7"/>
      <c r="E77" s="7"/>
      <c r="F77" s="7"/>
      <c r="G77" s="7"/>
      <c r="H77" s="7"/>
    </row>
    <row r="78" customFormat="false" ht="19.5" hidden="false" customHeight="true" outlineLevel="0" collapsed="false">
      <c r="A78" s="8" t="n">
        <v>57</v>
      </c>
      <c r="B78" s="9" t="s">
        <v>146</v>
      </c>
      <c r="C78" s="9" t="s">
        <v>147</v>
      </c>
      <c r="D78" s="8" t="s">
        <v>25</v>
      </c>
      <c r="E78" s="10" t="n">
        <v>22000</v>
      </c>
      <c r="F78" s="11" t="n">
        <v>1</v>
      </c>
      <c r="G78" s="11" t="n">
        <v>24</v>
      </c>
      <c r="H78" s="12" t="n">
        <f aca="false">E78*F78*G78</f>
        <v>528000</v>
      </c>
    </row>
    <row r="79" customFormat="false" ht="19.5" hidden="false" customHeight="true" outlineLevel="0" collapsed="false">
      <c r="A79" s="19" t="n">
        <v>58</v>
      </c>
      <c r="B79" s="20" t="s">
        <v>148</v>
      </c>
      <c r="C79" s="20" t="s">
        <v>149</v>
      </c>
      <c r="D79" s="19" t="s">
        <v>47</v>
      </c>
      <c r="E79" s="21" t="n">
        <v>10000</v>
      </c>
      <c r="F79" s="22" t="n">
        <v>1</v>
      </c>
      <c r="G79" s="22" t="n">
        <v>18</v>
      </c>
      <c r="H79" s="23" t="n">
        <f aca="false">E79*F79*G79</f>
        <v>180000</v>
      </c>
    </row>
    <row r="80" customFormat="false" ht="19.5" hidden="false" customHeight="true" outlineLevel="0" collapsed="false">
      <c r="A80" s="19" t="n">
        <v>59</v>
      </c>
      <c r="B80" s="20" t="s">
        <v>150</v>
      </c>
      <c r="C80" s="20" t="s">
        <v>151</v>
      </c>
      <c r="D80" s="19" t="s">
        <v>47</v>
      </c>
      <c r="E80" s="21" t="n">
        <v>8500</v>
      </c>
      <c r="F80" s="22" t="n">
        <v>2</v>
      </c>
      <c r="G80" s="22" t="n">
        <v>30</v>
      </c>
      <c r="H80" s="23" t="n">
        <f aca="false">E80*F80*G80</f>
        <v>510000</v>
      </c>
    </row>
    <row r="81" customFormat="false" ht="15" hidden="false" customHeight="false" outlineLevel="0" collapsed="false">
      <c r="A81" s="24" t="s">
        <v>152</v>
      </c>
      <c r="B81" s="24"/>
      <c r="C81" s="24"/>
      <c r="D81" s="24"/>
      <c r="E81" s="24"/>
      <c r="F81" s="24"/>
      <c r="G81" s="24"/>
      <c r="H81" s="25" t="n">
        <f aca="false">SUMPRODUCT((H14:H80)&lt;&gt;"",H14:H80)</f>
        <v>36678000</v>
      </c>
    </row>
    <row r="82" customFormat="false" ht="15" hidden="false" customHeight="false" outlineLevel="0" collapsed="false">
      <c r="A82" s="26" t="s">
        <v>153</v>
      </c>
      <c r="B82" s="26"/>
      <c r="C82" s="26"/>
      <c r="D82" s="26"/>
      <c r="E82" s="26"/>
      <c r="F82" s="26"/>
      <c r="G82" s="26"/>
      <c r="H82" s="26"/>
    </row>
    <row r="84" customFormat="false" ht="15" hidden="false" customHeight="true" outlineLevel="0" collapsed="false">
      <c r="A84" s="3" t="s">
        <v>154</v>
      </c>
      <c r="B84" s="3"/>
      <c r="C84" s="3"/>
      <c r="D84" s="3"/>
      <c r="E84" s="3"/>
      <c r="F84" s="3"/>
      <c r="G84" s="3"/>
      <c r="H84" s="3"/>
    </row>
    <row r="85" customFormat="false" ht="15" hidden="false" customHeight="false" outlineLevel="0" collapsed="false">
      <c r="A85" s="6" t="s">
        <v>14</v>
      </c>
      <c r="B85" s="6" t="s">
        <v>15</v>
      </c>
      <c r="C85" s="6" t="s">
        <v>17</v>
      </c>
      <c r="D85" s="6" t="s">
        <v>19</v>
      </c>
      <c r="E85" s="6" t="s">
        <v>155</v>
      </c>
      <c r="F85" s="6" t="s">
        <v>156</v>
      </c>
      <c r="G85" s="6"/>
      <c r="H85" s="6" t="s">
        <v>21</v>
      </c>
    </row>
    <row r="86" customFormat="false" ht="15" hidden="false" customHeight="false" outlineLevel="0" collapsed="false">
      <c r="A86" s="27" t="n">
        <v>1</v>
      </c>
      <c r="B86" s="28" t="s">
        <v>23</v>
      </c>
      <c r="C86" s="27" t="s">
        <v>157</v>
      </c>
      <c r="D86" s="29" t="n">
        <v>1</v>
      </c>
      <c r="E86" s="29" t="n">
        <v>8</v>
      </c>
      <c r="F86" s="30" t="n">
        <v>5500</v>
      </c>
      <c r="H86" s="31" t="n">
        <f aca="false">D86*E86*F86</f>
        <v>44000</v>
      </c>
    </row>
    <row r="87" customFormat="false" ht="15" hidden="false" customHeight="false" outlineLevel="0" collapsed="false">
      <c r="A87" s="27" t="n">
        <v>2</v>
      </c>
      <c r="B87" s="28" t="s">
        <v>26</v>
      </c>
      <c r="C87" s="27" t="s">
        <v>157</v>
      </c>
      <c r="D87" s="29" t="n">
        <v>1</v>
      </c>
      <c r="E87" s="29" t="n">
        <v>12</v>
      </c>
      <c r="F87" s="30" t="n">
        <v>4500</v>
      </c>
      <c r="H87" s="31" t="n">
        <f aca="false">D87*E87*F87</f>
        <v>54000</v>
      </c>
    </row>
    <row r="88" customFormat="false" ht="15" hidden="false" customHeight="false" outlineLevel="0" collapsed="false">
      <c r="A88" s="27" t="n">
        <v>3</v>
      </c>
      <c r="B88" s="28" t="s">
        <v>28</v>
      </c>
      <c r="C88" s="27" t="s">
        <v>157</v>
      </c>
      <c r="D88" s="29" t="n">
        <v>1</v>
      </c>
      <c r="E88" s="29" t="n">
        <v>18</v>
      </c>
      <c r="F88" s="30" t="n">
        <v>4500</v>
      </c>
      <c r="H88" s="31" t="n">
        <f aca="false">D88*E88*F88</f>
        <v>81000</v>
      </c>
    </row>
    <row r="89" customFormat="false" ht="15" hidden="false" customHeight="false" outlineLevel="0" collapsed="false">
      <c r="A89" s="27" t="n">
        <v>4</v>
      </c>
      <c r="B89" s="28" t="s">
        <v>30</v>
      </c>
      <c r="C89" s="27" t="s">
        <v>158</v>
      </c>
      <c r="D89" s="29" t="n">
        <v>1</v>
      </c>
      <c r="E89" s="29" t="n">
        <v>12</v>
      </c>
      <c r="F89" s="30" t="n">
        <v>4500</v>
      </c>
      <c r="H89" s="31" t="n">
        <f aca="false">D89*E89*F89</f>
        <v>54000</v>
      </c>
    </row>
    <row r="90" customFormat="false" ht="15" hidden="false" customHeight="false" outlineLevel="0" collapsed="false">
      <c r="A90" s="14" t="n">
        <v>5</v>
      </c>
      <c r="B90" s="32" t="s">
        <v>33</v>
      </c>
      <c r="C90" s="14" t="s">
        <v>159</v>
      </c>
      <c r="D90" s="17" t="n">
        <v>1</v>
      </c>
      <c r="E90" s="17" t="n">
        <v>18</v>
      </c>
      <c r="F90" s="16" t="n">
        <v>5000</v>
      </c>
      <c r="G90" s="33"/>
      <c r="H90" s="18" t="n">
        <f aca="false">D90*E90*F90</f>
        <v>90000</v>
      </c>
    </row>
    <row r="91" customFormat="false" ht="15" hidden="false" customHeight="false" outlineLevel="0" collapsed="false">
      <c r="A91" s="14" t="n">
        <v>6</v>
      </c>
      <c r="B91" s="32" t="s">
        <v>43</v>
      </c>
      <c r="C91" s="14" t="s">
        <v>160</v>
      </c>
      <c r="D91" s="17" t="n">
        <v>1</v>
      </c>
      <c r="E91" s="17" t="n">
        <v>12</v>
      </c>
      <c r="F91" s="16" t="n">
        <v>5000</v>
      </c>
      <c r="G91" s="33"/>
      <c r="H91" s="18" t="n">
        <f aca="false">D91*E91*F91</f>
        <v>60000</v>
      </c>
    </row>
    <row r="92" customFormat="false" ht="15" hidden="false" customHeight="false" outlineLevel="0" collapsed="false">
      <c r="A92" s="14" t="n">
        <v>7</v>
      </c>
      <c r="B92" s="32" t="s">
        <v>53</v>
      </c>
      <c r="C92" s="14" t="s">
        <v>157</v>
      </c>
      <c r="D92" s="17" t="n">
        <v>1</v>
      </c>
      <c r="E92" s="17" t="n">
        <v>12</v>
      </c>
      <c r="F92" s="16" t="n">
        <v>4500</v>
      </c>
      <c r="G92" s="33"/>
      <c r="H92" s="18" t="n">
        <f aca="false">D92*E92*F92</f>
        <v>54000</v>
      </c>
    </row>
    <row r="93" customFormat="false" ht="15" hidden="false" customHeight="false" outlineLevel="0" collapsed="false">
      <c r="A93" s="14" t="n">
        <v>8</v>
      </c>
      <c r="B93" s="32" t="s">
        <v>55</v>
      </c>
      <c r="C93" s="14" t="s">
        <v>161</v>
      </c>
      <c r="D93" s="17" t="n">
        <v>1</v>
      </c>
      <c r="E93" s="17" t="n">
        <v>10</v>
      </c>
      <c r="F93" s="16" t="n">
        <v>4500</v>
      </c>
      <c r="G93" s="33"/>
      <c r="H93" s="18" t="n">
        <f aca="false">D93*E93*F93</f>
        <v>45000</v>
      </c>
    </row>
    <row r="94" customFormat="false" ht="15" hidden="false" customHeight="false" outlineLevel="0" collapsed="false">
      <c r="A94" s="27" t="n">
        <v>9</v>
      </c>
      <c r="B94" s="28" t="s">
        <v>100</v>
      </c>
      <c r="C94" s="27" t="s">
        <v>157</v>
      </c>
      <c r="D94" s="29" t="n">
        <v>1</v>
      </c>
      <c r="E94" s="29" t="n">
        <v>10</v>
      </c>
      <c r="F94" s="30" t="n">
        <v>4500</v>
      </c>
      <c r="H94" s="31" t="n">
        <f aca="false">D94*E94*F94</f>
        <v>45000</v>
      </c>
    </row>
    <row r="95" customFormat="false" ht="15" hidden="false" customHeight="false" outlineLevel="0" collapsed="false">
      <c r="A95" s="27" t="n">
        <v>10</v>
      </c>
      <c r="B95" s="28" t="s">
        <v>126</v>
      </c>
      <c r="C95" s="27" t="s">
        <v>162</v>
      </c>
      <c r="D95" s="29" t="n">
        <v>1</v>
      </c>
      <c r="E95" s="29" t="n">
        <v>12</v>
      </c>
      <c r="F95" s="30" t="n">
        <v>5000</v>
      </c>
      <c r="H95" s="31" t="n">
        <f aca="false">D95*E95*F95</f>
        <v>60000</v>
      </c>
    </row>
    <row r="96" customFormat="false" ht="15" hidden="false" customHeight="false" outlineLevel="0" collapsed="false">
      <c r="A96" s="27" t="n">
        <v>11</v>
      </c>
      <c r="B96" s="28" t="s">
        <v>130</v>
      </c>
      <c r="C96" s="27" t="s">
        <v>163</v>
      </c>
      <c r="D96" s="29" t="n">
        <v>1</v>
      </c>
      <c r="E96" s="29" t="n">
        <v>18</v>
      </c>
      <c r="F96" s="30" t="n">
        <v>2500</v>
      </c>
      <c r="H96" s="31" t="n">
        <f aca="false">D96*E96*F96</f>
        <v>45000</v>
      </c>
    </row>
    <row r="97" customFormat="false" ht="15" hidden="false" customHeight="false" outlineLevel="0" collapsed="false">
      <c r="A97" s="27" t="n">
        <v>12</v>
      </c>
      <c r="B97" s="28" t="s">
        <v>164</v>
      </c>
      <c r="C97" s="27" t="s">
        <v>165</v>
      </c>
      <c r="D97" s="29" t="n">
        <v>4</v>
      </c>
      <c r="E97" s="29" t="n">
        <v>16</v>
      </c>
      <c r="F97" s="30" t="n">
        <v>4500</v>
      </c>
      <c r="H97" s="31" t="n">
        <f aca="false">D97*E97*F97</f>
        <v>288000</v>
      </c>
    </row>
    <row r="98" customFormat="false" ht="15" hidden="false" customHeight="false" outlineLevel="0" collapsed="false">
      <c r="A98" s="24" t="s">
        <v>166</v>
      </c>
      <c r="B98" s="24"/>
      <c r="C98" s="24"/>
      <c r="D98" s="24"/>
      <c r="E98" s="24"/>
      <c r="F98" s="24"/>
      <c r="G98" s="24"/>
      <c r="H98" s="25" t="n">
        <f aca="false">SUM(H86:H97)</f>
        <v>920000</v>
      </c>
    </row>
    <row r="100" customFormat="false" ht="15" hidden="false" customHeight="true" outlineLevel="0" collapsed="false">
      <c r="A100" s="3" t="s">
        <v>167</v>
      </c>
      <c r="B100" s="3"/>
      <c r="C100" s="3"/>
      <c r="D100" s="3"/>
      <c r="E100" s="3"/>
      <c r="F100" s="3"/>
      <c r="G100" s="3"/>
      <c r="H100" s="3"/>
    </row>
    <row r="101" customFormat="false" ht="15" hidden="false" customHeight="false" outlineLevel="0" collapsed="false">
      <c r="A101" s="6" t="s">
        <v>14</v>
      </c>
      <c r="B101" s="6" t="s">
        <v>168</v>
      </c>
      <c r="C101" s="6" t="s">
        <v>17</v>
      </c>
      <c r="D101" s="6" t="s">
        <v>19</v>
      </c>
      <c r="E101" s="6" t="s">
        <v>169</v>
      </c>
      <c r="F101" s="6" t="s">
        <v>20</v>
      </c>
      <c r="G101" s="6"/>
      <c r="H101" s="6" t="s">
        <v>21</v>
      </c>
    </row>
    <row r="102" customFormat="false" ht="15" hidden="false" customHeight="false" outlineLevel="0" collapsed="false">
      <c r="A102" s="27" t="n">
        <v>1</v>
      </c>
      <c r="B102" s="28" t="s">
        <v>170</v>
      </c>
      <c r="C102" s="27" t="s">
        <v>171</v>
      </c>
      <c r="D102" s="29" t="n">
        <v>14</v>
      </c>
      <c r="E102" s="30" t="n">
        <v>2800</v>
      </c>
      <c r="F102" s="29" t="n">
        <v>36</v>
      </c>
      <c r="H102" s="31" t="n">
        <f aca="false">D102*E102*F102</f>
        <v>1411200</v>
      </c>
    </row>
    <row r="103" customFormat="false" ht="15" hidden="false" customHeight="false" outlineLevel="0" collapsed="false">
      <c r="A103" s="27" t="n">
        <v>2</v>
      </c>
      <c r="B103" s="28" t="s">
        <v>172</v>
      </c>
      <c r="C103" s="27" t="s">
        <v>47</v>
      </c>
      <c r="D103" s="29" t="n">
        <v>32</v>
      </c>
      <c r="E103" s="30" t="n">
        <v>800</v>
      </c>
      <c r="F103" s="29" t="n">
        <v>36</v>
      </c>
      <c r="H103" s="31" t="n">
        <f aca="false">D103*E103*F103</f>
        <v>921600</v>
      </c>
    </row>
    <row r="104" customFormat="false" ht="15" hidden="false" customHeight="false" outlineLevel="0" collapsed="false">
      <c r="A104" s="27" t="n">
        <v>3</v>
      </c>
      <c r="B104" s="28" t="s">
        <v>173</v>
      </c>
      <c r="C104" s="27" t="s">
        <v>25</v>
      </c>
      <c r="D104" s="29" t="n">
        <v>1</v>
      </c>
      <c r="E104" s="30" t="n">
        <v>5000</v>
      </c>
      <c r="F104" s="29" t="n">
        <v>24</v>
      </c>
      <c r="H104" s="31" t="n">
        <f aca="false">D104*E104*F104</f>
        <v>120000</v>
      </c>
    </row>
    <row r="105" customFormat="false" ht="15" hidden="false" customHeight="false" outlineLevel="0" collapsed="false">
      <c r="A105" s="27" t="n">
        <v>4</v>
      </c>
      <c r="B105" s="28" t="s">
        <v>174</v>
      </c>
      <c r="C105" s="27" t="s">
        <v>25</v>
      </c>
      <c r="D105" s="29" t="n">
        <v>1</v>
      </c>
      <c r="E105" s="30" t="n">
        <v>4500</v>
      </c>
      <c r="F105" s="29" t="n">
        <v>36</v>
      </c>
      <c r="H105" s="31" t="n">
        <f aca="false">D105*E105*F105</f>
        <v>162000</v>
      </c>
    </row>
    <row r="106" customFormat="false" ht="15" hidden="false" customHeight="false" outlineLevel="0" collapsed="false">
      <c r="A106" s="27" t="n">
        <v>5</v>
      </c>
      <c r="B106" s="28" t="s">
        <v>175</v>
      </c>
      <c r="C106" s="27" t="s">
        <v>132</v>
      </c>
      <c r="D106" s="29" t="n">
        <v>2</v>
      </c>
      <c r="E106" s="30" t="n">
        <v>3500</v>
      </c>
      <c r="F106" s="29" t="n">
        <v>36</v>
      </c>
      <c r="H106" s="31" t="n">
        <f aca="false">D106*E106*F106</f>
        <v>252000</v>
      </c>
    </row>
    <row r="107" customFormat="false" ht="15" hidden="false" customHeight="false" outlineLevel="0" collapsed="false">
      <c r="A107" s="14" t="n">
        <v>6</v>
      </c>
      <c r="B107" s="32" t="s">
        <v>176</v>
      </c>
      <c r="C107" s="14" t="s">
        <v>177</v>
      </c>
      <c r="D107" s="17" t="n">
        <v>1</v>
      </c>
      <c r="E107" s="16" t="n">
        <v>8000</v>
      </c>
      <c r="F107" s="17" t="n">
        <v>18</v>
      </c>
      <c r="G107" s="33"/>
      <c r="H107" s="18" t="n">
        <f aca="false">D107*E107*F107</f>
        <v>144000</v>
      </c>
    </row>
    <row r="108" customFormat="false" ht="15" hidden="false" customHeight="false" outlineLevel="0" collapsed="false">
      <c r="A108" s="14" t="n">
        <v>7</v>
      </c>
      <c r="B108" s="32" t="s">
        <v>178</v>
      </c>
      <c r="C108" s="14" t="s">
        <v>179</v>
      </c>
      <c r="D108" s="17" t="n">
        <v>1</v>
      </c>
      <c r="E108" s="16" t="n">
        <v>5000</v>
      </c>
      <c r="F108" s="17" t="n">
        <v>12</v>
      </c>
      <c r="G108" s="33"/>
      <c r="H108" s="18" t="n">
        <f aca="false">D108*E108*F108</f>
        <v>60000</v>
      </c>
    </row>
    <row r="109" customFormat="false" ht="15" hidden="false" customHeight="false" outlineLevel="0" collapsed="false">
      <c r="A109" s="24" t="s">
        <v>180</v>
      </c>
      <c r="B109" s="24"/>
      <c r="C109" s="24"/>
      <c r="D109" s="24"/>
      <c r="E109" s="24"/>
      <c r="F109" s="24"/>
      <c r="G109" s="24"/>
      <c r="H109" s="25" t="n">
        <f aca="false">SUM(H102:H108)</f>
        <v>3070800</v>
      </c>
    </row>
    <row r="111" customFormat="false" ht="15" hidden="false" customHeight="true" outlineLevel="0" collapsed="false">
      <c r="A111" s="3" t="s">
        <v>181</v>
      </c>
      <c r="B111" s="3"/>
      <c r="C111" s="3"/>
      <c r="D111" s="3"/>
      <c r="E111" s="3"/>
      <c r="F111" s="3"/>
      <c r="G111" s="3"/>
      <c r="H111" s="3"/>
    </row>
    <row r="112" customFormat="false" ht="15" hidden="false" customHeight="false" outlineLevel="0" collapsed="false">
      <c r="A112" s="6" t="s">
        <v>14</v>
      </c>
      <c r="B112" s="6" t="s">
        <v>182</v>
      </c>
      <c r="C112" s="6"/>
      <c r="D112" s="6" t="s">
        <v>183</v>
      </c>
      <c r="E112" s="6" t="s">
        <v>184</v>
      </c>
      <c r="F112" s="6" t="s">
        <v>185</v>
      </c>
      <c r="G112" s="6"/>
      <c r="H112" s="6" t="s">
        <v>186</v>
      </c>
    </row>
    <row r="113" customFormat="false" ht="15" hidden="false" customHeight="false" outlineLevel="0" collapsed="false">
      <c r="A113" s="27" t="n">
        <v>1</v>
      </c>
      <c r="B113" s="34" t="s">
        <v>187</v>
      </c>
      <c r="C113" s="34"/>
      <c r="D113" s="29" t="n">
        <v>1</v>
      </c>
      <c r="E113" s="30" t="n">
        <v>24500000</v>
      </c>
      <c r="F113" s="35" t="n">
        <v>0.2</v>
      </c>
      <c r="H113" s="31" t="n">
        <f aca="false">E113*(1+F113)</f>
        <v>29400000</v>
      </c>
    </row>
    <row r="114" customFormat="false" ht="15" hidden="false" customHeight="false" outlineLevel="0" collapsed="false">
      <c r="A114" s="27" t="n">
        <v>2</v>
      </c>
      <c r="B114" s="34" t="s">
        <v>188</v>
      </c>
      <c r="C114" s="34"/>
      <c r="D114" s="29" t="n">
        <v>1</v>
      </c>
      <c r="E114" s="30" t="n">
        <v>12000000</v>
      </c>
      <c r="F114" s="35" t="n">
        <v>0.15</v>
      </c>
      <c r="H114" s="31" t="n">
        <f aca="false">E114*(1+F114)</f>
        <v>13800000</v>
      </c>
    </row>
    <row r="115" customFormat="false" ht="15" hidden="false" customHeight="false" outlineLevel="0" collapsed="false">
      <c r="A115" s="27" t="n">
        <v>3</v>
      </c>
      <c r="B115" s="34" t="s">
        <v>189</v>
      </c>
      <c r="C115" s="34"/>
      <c r="D115" s="29" t="n">
        <v>1</v>
      </c>
      <c r="E115" s="30" t="n">
        <v>8500000</v>
      </c>
      <c r="F115" s="35" t="n">
        <v>0.2</v>
      </c>
      <c r="H115" s="31" t="n">
        <f aca="false">E115*(1+F115)</f>
        <v>10200000</v>
      </c>
    </row>
    <row r="116" customFormat="false" ht="15" hidden="false" customHeight="false" outlineLevel="0" collapsed="false">
      <c r="A116" s="27" t="n">
        <v>4</v>
      </c>
      <c r="B116" s="34" t="s">
        <v>190</v>
      </c>
      <c r="C116" s="34"/>
      <c r="D116" s="29" t="n">
        <v>1</v>
      </c>
      <c r="E116" s="30" t="n">
        <v>4200000</v>
      </c>
      <c r="F116" s="35" t="n">
        <v>0.15</v>
      </c>
      <c r="H116" s="31" t="n">
        <f aca="false">E116*(1+F116)</f>
        <v>4830000</v>
      </c>
    </row>
    <row r="117" customFormat="false" ht="15" hidden="false" customHeight="false" outlineLevel="0" collapsed="false">
      <c r="A117" s="27" t="n">
        <v>5</v>
      </c>
      <c r="B117" s="34" t="s">
        <v>191</v>
      </c>
      <c r="C117" s="34"/>
      <c r="D117" s="29" t="n">
        <v>1</v>
      </c>
      <c r="E117" s="30" t="n">
        <v>3800000</v>
      </c>
      <c r="F117" s="35" t="n">
        <v>0.15</v>
      </c>
      <c r="H117" s="31" t="n">
        <f aca="false">E117*(1+F117)</f>
        <v>4370000</v>
      </c>
    </row>
    <row r="118" customFormat="false" ht="15" hidden="false" customHeight="false" outlineLevel="0" collapsed="false">
      <c r="A118" s="27" t="n">
        <v>6</v>
      </c>
      <c r="B118" s="34" t="s">
        <v>192</v>
      </c>
      <c r="C118" s="34"/>
      <c r="D118" s="29" t="n">
        <v>1</v>
      </c>
      <c r="E118" s="30" t="n">
        <v>3500000</v>
      </c>
      <c r="F118" s="35" t="n">
        <v>0.2</v>
      </c>
      <c r="H118" s="31" t="n">
        <f aca="false">E118*(1+F118)</f>
        <v>4200000</v>
      </c>
    </row>
    <row r="119" customFormat="false" ht="15" hidden="false" customHeight="false" outlineLevel="0" collapsed="false">
      <c r="A119" s="27" t="n">
        <v>7</v>
      </c>
      <c r="B119" s="34" t="s">
        <v>193</v>
      </c>
      <c r="C119" s="34"/>
      <c r="D119" s="29" t="n">
        <v>1</v>
      </c>
      <c r="E119" s="30" t="n">
        <v>2800000</v>
      </c>
      <c r="F119" s="35" t="n">
        <v>0.15</v>
      </c>
      <c r="H119" s="31" t="n">
        <f aca="false">E119*(1+F119)</f>
        <v>3220000</v>
      </c>
    </row>
    <row r="120" customFormat="false" ht="15" hidden="false" customHeight="false" outlineLevel="0" collapsed="false">
      <c r="A120" s="24" t="s">
        <v>194</v>
      </c>
      <c r="B120" s="24"/>
      <c r="C120" s="24"/>
      <c r="D120" s="24"/>
      <c r="E120" s="24"/>
      <c r="F120" s="24"/>
      <c r="G120" s="24"/>
      <c r="H120" s="25" t="n">
        <f aca="false">SUM(H113:H119)</f>
        <v>70020000</v>
      </c>
    </row>
    <row r="122" customFormat="false" ht="15" hidden="false" customHeight="true" outlineLevel="0" collapsed="false">
      <c r="A122" s="3" t="s">
        <v>195</v>
      </c>
      <c r="B122" s="3"/>
      <c r="C122" s="3"/>
      <c r="D122" s="3"/>
      <c r="E122" s="3"/>
      <c r="F122" s="3"/>
      <c r="G122" s="3"/>
      <c r="H122" s="3"/>
    </row>
    <row r="123" customFormat="false" ht="15" hidden="false" customHeight="false" outlineLevel="0" collapsed="false">
      <c r="B123" s="36" t="s">
        <v>196</v>
      </c>
      <c r="C123" s="36"/>
      <c r="D123" s="36"/>
      <c r="E123" s="36"/>
      <c r="F123" s="37" t="n">
        <v>0.183</v>
      </c>
      <c r="G123" s="38" t="s">
        <v>197</v>
      </c>
      <c r="H123" s="38"/>
    </row>
    <row r="125" customFormat="false" ht="15" hidden="false" customHeight="true" outlineLevel="0" collapsed="false">
      <c r="A125" s="39" t="s">
        <v>198</v>
      </c>
      <c r="B125" s="39"/>
      <c r="C125" s="39"/>
      <c r="D125" s="39"/>
      <c r="E125" s="39"/>
      <c r="F125" s="39"/>
      <c r="G125" s="39"/>
      <c r="H125" s="39"/>
    </row>
    <row r="126" customFormat="false" ht="15" hidden="false" customHeight="false" outlineLevel="0" collapsed="false">
      <c r="A126" s="6"/>
      <c r="B126" s="6" t="s">
        <v>199</v>
      </c>
      <c r="C126" s="6"/>
      <c r="D126" s="6"/>
      <c r="E126" s="6"/>
      <c r="F126" s="6" t="s">
        <v>200</v>
      </c>
      <c r="G126" s="6"/>
      <c r="H126" s="6" t="s">
        <v>201</v>
      </c>
    </row>
    <row r="127" customFormat="false" ht="19.4" hidden="false" customHeight="true" outlineLevel="0" collapsed="false">
      <c r="B127" s="36" t="s">
        <v>202</v>
      </c>
      <c r="C127" s="36"/>
      <c r="D127" s="36"/>
      <c r="E127" s="36"/>
      <c r="F127" s="40" t="n">
        <v>92300000</v>
      </c>
      <c r="G127" s="41" t="s">
        <v>203</v>
      </c>
      <c r="H127" s="41"/>
    </row>
    <row r="128" customFormat="false" ht="19.4" hidden="false" customHeight="true" outlineLevel="0" collapsed="false">
      <c r="B128" s="36" t="s">
        <v>204</v>
      </c>
      <c r="C128" s="36"/>
      <c r="D128" s="36"/>
      <c r="E128" s="36"/>
      <c r="F128" s="40" t="n">
        <v>39760000</v>
      </c>
      <c r="G128" s="41" t="s">
        <v>205</v>
      </c>
      <c r="H128" s="41"/>
    </row>
    <row r="129" customFormat="false" ht="19.4" hidden="false" customHeight="true" outlineLevel="0" collapsed="false">
      <c r="B129" s="36" t="s">
        <v>206</v>
      </c>
      <c r="C129" s="36"/>
      <c r="D129" s="36"/>
      <c r="E129" s="36"/>
      <c r="F129" s="40" t="n">
        <v>9940000</v>
      </c>
      <c r="G129" s="41" t="s">
        <v>207</v>
      </c>
      <c r="H129" s="41"/>
    </row>
    <row r="130" customFormat="false" ht="16.15" hidden="false" customHeight="false" outlineLevel="0" collapsed="false">
      <c r="B130" s="42" t="s">
        <v>208</v>
      </c>
      <c r="C130" s="42"/>
      <c r="D130" s="42"/>
      <c r="E130" s="42"/>
      <c r="F130" s="43" t="n">
        <f aca="false">SUM(F127:F129)</f>
        <v>142000000</v>
      </c>
    </row>
    <row r="132" customFormat="false" ht="15" hidden="false" customHeight="true" outlineLevel="0" collapsed="false">
      <c r="A132" s="3" t="s">
        <v>209</v>
      </c>
      <c r="B132" s="3"/>
      <c r="C132" s="3"/>
      <c r="D132" s="3"/>
      <c r="E132" s="3"/>
      <c r="F132" s="3"/>
      <c r="G132" s="3"/>
      <c r="H132" s="3"/>
    </row>
    <row r="133" customFormat="false" ht="15" hidden="false" customHeight="false" outlineLevel="0" collapsed="false">
      <c r="A133" s="44" t="s">
        <v>210</v>
      </c>
      <c r="B133" s="44"/>
      <c r="C133" s="44"/>
      <c r="D133" s="44"/>
      <c r="E133" s="44"/>
      <c r="F133" s="44"/>
      <c r="G133" s="44"/>
      <c r="H133" s="44"/>
    </row>
    <row r="134" customFormat="false" ht="15" hidden="false" customHeight="false" outlineLevel="0" collapsed="false">
      <c r="A134" s="6" t="s">
        <v>14</v>
      </c>
      <c r="B134" s="6" t="s">
        <v>211</v>
      </c>
      <c r="C134" s="6"/>
      <c r="D134" s="6" t="s">
        <v>212</v>
      </c>
      <c r="E134" s="6" t="s">
        <v>213</v>
      </c>
      <c r="F134" s="6" t="s">
        <v>214</v>
      </c>
      <c r="G134" s="6"/>
      <c r="H134" s="6" t="s">
        <v>215</v>
      </c>
    </row>
    <row r="135" customFormat="false" ht="21.75" hidden="false" customHeight="true" outlineLevel="0" collapsed="false">
      <c r="A135" s="27" t="n">
        <v>1</v>
      </c>
      <c r="B135" s="34" t="s">
        <v>216</v>
      </c>
      <c r="C135" s="34"/>
      <c r="D135" s="27" t="s">
        <v>217</v>
      </c>
      <c r="E135" s="27" t="s">
        <v>218</v>
      </c>
      <c r="F135" s="35" t="n">
        <v>0.15</v>
      </c>
      <c r="H135" s="31" t="n">
        <f aca="false">F135*F130</f>
        <v>21300000</v>
      </c>
    </row>
    <row r="136" customFormat="false" ht="21.75" hidden="false" customHeight="true" outlineLevel="0" collapsed="false">
      <c r="A136" s="27" t="n">
        <v>2</v>
      </c>
      <c r="B136" s="34" t="s">
        <v>219</v>
      </c>
      <c r="C136" s="34"/>
      <c r="D136" s="27" t="s">
        <v>220</v>
      </c>
      <c r="E136" s="27" t="s">
        <v>221</v>
      </c>
      <c r="F136" s="35" t="n">
        <v>0.2</v>
      </c>
      <c r="H136" s="31" t="n">
        <f aca="false">F136*F130</f>
        <v>28400000</v>
      </c>
    </row>
    <row r="137" customFormat="false" ht="21.75" hidden="false" customHeight="true" outlineLevel="0" collapsed="false">
      <c r="A137" s="27" t="n">
        <v>3</v>
      </c>
      <c r="B137" s="34" t="s">
        <v>222</v>
      </c>
      <c r="C137" s="34"/>
      <c r="D137" s="27" t="s">
        <v>223</v>
      </c>
      <c r="E137" s="27" t="s">
        <v>224</v>
      </c>
      <c r="F137" s="35" t="n">
        <v>0.2</v>
      </c>
      <c r="H137" s="31" t="n">
        <f aca="false">F137*F130</f>
        <v>28400000</v>
      </c>
    </row>
    <row r="138" customFormat="false" ht="21.75" hidden="false" customHeight="true" outlineLevel="0" collapsed="false">
      <c r="A138" s="14" t="n">
        <v>4</v>
      </c>
      <c r="B138" s="45" t="s">
        <v>225</v>
      </c>
      <c r="C138" s="45"/>
      <c r="D138" s="14" t="s">
        <v>226</v>
      </c>
      <c r="E138" s="14" t="s">
        <v>227</v>
      </c>
      <c r="F138" s="46" t="n">
        <v>0.1</v>
      </c>
      <c r="G138" s="33"/>
      <c r="H138" s="18" t="n">
        <f aca="false">F138*F130</f>
        <v>14200000</v>
      </c>
    </row>
    <row r="139" customFormat="false" ht="21.75" hidden="false" customHeight="true" outlineLevel="0" collapsed="false">
      <c r="A139" s="27" t="n">
        <v>5</v>
      </c>
      <c r="B139" s="34" t="s">
        <v>228</v>
      </c>
      <c r="C139" s="34"/>
      <c r="D139" s="27" t="s">
        <v>229</v>
      </c>
      <c r="E139" s="27" t="s">
        <v>230</v>
      </c>
      <c r="F139" s="35" t="n">
        <v>0.15</v>
      </c>
      <c r="H139" s="31" t="n">
        <f aca="false">F139*F130</f>
        <v>21300000</v>
      </c>
    </row>
    <row r="140" customFormat="false" ht="21.75" hidden="false" customHeight="true" outlineLevel="0" collapsed="false">
      <c r="A140" s="14" t="n">
        <v>6</v>
      </c>
      <c r="B140" s="45" t="s">
        <v>231</v>
      </c>
      <c r="C140" s="45"/>
      <c r="D140" s="14" t="s">
        <v>232</v>
      </c>
      <c r="E140" s="14" t="s">
        <v>233</v>
      </c>
      <c r="F140" s="46" t="n">
        <v>0.1</v>
      </c>
      <c r="G140" s="33"/>
      <c r="H140" s="18" t="n">
        <f aca="false">F140*F130</f>
        <v>14200000</v>
      </c>
    </row>
    <row r="141" customFormat="false" ht="21.75" hidden="false" customHeight="true" outlineLevel="0" collapsed="false">
      <c r="A141" s="27" t="n">
        <v>7</v>
      </c>
      <c r="B141" s="34" t="s">
        <v>234</v>
      </c>
      <c r="C141" s="34"/>
      <c r="D141" s="27" t="s">
        <v>235</v>
      </c>
      <c r="E141" s="27" t="s">
        <v>236</v>
      </c>
      <c r="F141" s="35" t="n">
        <v>0.1</v>
      </c>
      <c r="H141" s="31" t="n">
        <f aca="false">F141*F130</f>
        <v>14200000</v>
      </c>
    </row>
    <row r="142" customFormat="false" ht="15" hidden="false" customHeight="false" outlineLevel="0" collapsed="false">
      <c r="A142" s="47" t="s">
        <v>237</v>
      </c>
      <c r="B142" s="47"/>
      <c r="C142" s="47"/>
      <c r="D142" s="47"/>
      <c r="E142" s="47"/>
      <c r="F142" s="48" t="n">
        <f aca="false">SUM(F135:F141)</f>
        <v>1</v>
      </c>
      <c r="H142" s="49" t="n">
        <f aca="false">SUM(H135:H141)</f>
        <v>142000000</v>
      </c>
    </row>
    <row r="144" customFormat="false" ht="15" hidden="false" customHeight="false" outlineLevel="0" collapsed="false">
      <c r="A144" s="50" t="s">
        <v>238</v>
      </c>
      <c r="B144" s="50"/>
      <c r="C144" s="50"/>
      <c r="D144" s="50"/>
      <c r="E144" s="50"/>
      <c r="F144" s="50"/>
      <c r="G144" s="50"/>
      <c r="H144" s="50"/>
    </row>
  </sheetData>
  <mergeCells count="55">
    <mergeCell ref="A1:H1"/>
    <mergeCell ref="A2:H2"/>
    <mergeCell ref="A4:H4"/>
    <mergeCell ref="C5:H5"/>
    <mergeCell ref="C6:H6"/>
    <mergeCell ref="C7:H7"/>
    <mergeCell ref="C8:H8"/>
    <mergeCell ref="C9:H9"/>
    <mergeCell ref="A11:H11"/>
    <mergeCell ref="A13:H13"/>
    <mergeCell ref="A18:H18"/>
    <mergeCell ref="A28:H28"/>
    <mergeCell ref="A35:H35"/>
    <mergeCell ref="A40:H40"/>
    <mergeCell ref="A53:H53"/>
    <mergeCell ref="A62:H62"/>
    <mergeCell ref="A67:H67"/>
    <mergeCell ref="A77:H77"/>
    <mergeCell ref="A81:G81"/>
    <mergeCell ref="A82:H82"/>
    <mergeCell ref="A84:H84"/>
    <mergeCell ref="A98:G98"/>
    <mergeCell ref="A100:H100"/>
    <mergeCell ref="A109:G109"/>
    <mergeCell ref="A111:H111"/>
    <mergeCell ref="B113:C113"/>
    <mergeCell ref="B114:C114"/>
    <mergeCell ref="B115:C115"/>
    <mergeCell ref="B116:C116"/>
    <mergeCell ref="B117:C117"/>
    <mergeCell ref="B118:C118"/>
    <mergeCell ref="B119:C119"/>
    <mergeCell ref="A120:G120"/>
    <mergeCell ref="A122:H122"/>
    <mergeCell ref="B123:E123"/>
    <mergeCell ref="G123:H123"/>
    <mergeCell ref="A125:H125"/>
    <mergeCell ref="B127:E127"/>
    <mergeCell ref="G127:H127"/>
    <mergeCell ref="B128:E128"/>
    <mergeCell ref="G128:H128"/>
    <mergeCell ref="B129:E129"/>
    <mergeCell ref="G129:H129"/>
    <mergeCell ref="B130:E130"/>
    <mergeCell ref="A132:H132"/>
    <mergeCell ref="A133:H133"/>
    <mergeCell ref="B135:C135"/>
    <mergeCell ref="B136:C136"/>
    <mergeCell ref="B137:C137"/>
    <mergeCell ref="B138:C138"/>
    <mergeCell ref="B139:C139"/>
    <mergeCell ref="B140:C140"/>
    <mergeCell ref="B141:C141"/>
    <mergeCell ref="A142:E142"/>
    <mergeCell ref="A144:H1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2026-04-09T08:11:25Z</dcterms:created>
  <dc:creator>openpyxl</dc:creator>
  <dc:description/>
  <dc:language>en-US</dc:language>
  <cp:lastModifiedBy/>
  <dcterms:modified xsi:type="dcterms:W3CDTF">2026-04-09T08:11:25Z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