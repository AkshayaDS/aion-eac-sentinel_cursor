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ment Summary" sheetId="1" state="visible" r:id="rId3"/>
    <sheet name="ROI Model" sheetId="2" state="visible" r:id="rId4"/>
    <sheet name="Sensitivity Analysis" sheetId="3" state="visible" r:id="rId5"/>
    <sheet name="Payment Schedule" sheetId="4" state="visible" r:id="rId6"/>
    <sheet name="Deal Op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<sst xmlns="http://schemas.openxmlformats.org/spreadsheetml/2006/main" count="181" uniqueCount="149">
  <si>
    <t xml:space="preserve">HCLTech | AION Enterprise AI Operating System</t>
  </si>
  <si>
    <t xml:space="preserve">Commercial Proposal for Raytheon (RTX Corporation)</t>
  </si>
  <si>
    <t xml:space="preserve">RFP: RTX-EOS-RFP-2026-0111</t>
  </si>
  <si>
    <t xml:space="preserve">Component</t>
  </si>
  <si>
    <t xml:space="preserve">Year 1 ($M)</t>
  </si>
  <si>
    <t xml:space="preserve">Year 2 ($M)</t>
  </si>
  <si>
    <t xml:space="preserve">Year 3 ($M)</t>
  </si>
  <si>
    <t xml:space="preserve">Year 4 ($M)</t>
  </si>
  <si>
    <t xml:space="preserve">Year 5 ($M)</t>
  </si>
  <si>
    <t xml:space="preserve">Total ($M)</t>
  </si>
  <si>
    <t xml:space="preserve">% of TCV</t>
  </si>
  <si>
    <t xml:space="preserve">Discovery &amp; Assessment</t>
  </si>
  <si>
    <t xml:space="preserve">Platform &amp; Infrastructure</t>
  </si>
  <si>
    <t xml:space="preserve">Implementation Services</t>
  </si>
  <si>
    <t xml:space="preserve">Change Management &amp; Training</t>
  </si>
  <si>
    <t xml:space="preserve">Managed Services</t>
  </si>
  <si>
    <t xml:space="preserve">Innovation Fund</t>
  </si>
  <si>
    <t xml:space="preserve">TOTAL CONTRACT VALUE</t>
  </si>
  <si>
    <t xml:space="preserve">5-Year ROI Projection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</si>
  <si>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</si>
  <si>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</si>
  <si>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</si>
  <si>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</si>
  <si>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</si>
  <si>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</si>
  <si>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Cumulative</t>
  </si>
  <si>
    <t xml:space="preserve">INVESTMENT ($M)</t>
  </si>
  <si>
    <t xml:space="preserve">Services &amp; Implementation</t>
  </si>
  <si>
    <t xml:space="preserve">Change &amp; Training</t>
  </si>
  <si>
    <t xml:space="preserve">Total Investment</t>
  </si>
  <si>
    <t xml:space="preserve">VALUE GENERATED ($M)</t>
  </si>
  <si>
    <t xml:space="preserve">Operational Efficiency</t>
  </si>
  <si>
    <t xml:space="preserve">IT Cost Optimization</t>
  </si>
  <si>
    <t xml:space="preserve">Revenue Acceleration</t>
  </si>
  <si>
    <t xml:space="preserve">Risk Mitigation</t>
  </si>
  <si>
    <t xml:space="preserve">Workforce Productivity</t>
  </si>
  <si>
    <t xml:space="preserve">Total Value</t>
  </si>
  <si>
    <t xml:space="preserve">NET VALUE ($M)</t>
  </si>
  <si>
    <t xml:space="preserve">Cumulative Net Value ($M)</t>
  </si>
  <si>
    <t xml:space="preserve">Annual ROI (%)</t>
  </si>
  <si>
    <t xml:space="preserve">KEY METRICS</t>
  </si>
  <si>
    <t xml:space="preserve">Payback Period</t>
  </si>
  <si>
    <t xml:space="preserve">14 months</t>
  </si>
  <si>
    <t xml:space="preserve">NPV (10% discount)</t>
  </si>
  <si>
    <t xml:space="preserve">$278M</t>
  </si>
  <si>
    <t xml:space="preserve">IRR</t>
  </si>
  <si>
    <t xml:space="preserve">68%</t>
  </si>
  <si>
    <t xml:space="preserve">Sensitivity Analysis: Pessimistic / Baseline / Optimistic</t>
  </si>
  <si>
    <t xml:space="preserve">Scenario</t>
  </si>
  <si>
    <t xml:space="preserve">Achievement</t>
  </si>
  <si>
    <t xml:space="preserve">5-Yr Total</t>
  </si>
  <si>
    <t xml:space="preserve">ROI</t>
  </si>
  <si>
    <t xml:space="preserve">Pessimistic</t>
  </si>
  <si>
    <t xml:space="preserve">60%</t>
  </si>
  <si>
    <t xml:space="preserve">2.1x</t>
  </si>
  <si>
    <t xml:space="preserve">Baseline</t>
  </si>
  <si>
    <t xml:space="preserve">100%</t>
  </si>
  <si>
    <t xml:space="preserve">3.4x</t>
  </si>
  <si>
    <t xml:space="preserve">Optimistic</t>
  </si>
  <si>
    <t xml:space="preserve">140%</t>
  </si>
  <si>
    <t xml:space="preserve">4.8x</t>
  </si>
  <si>
    <t xml:space="preserve">Milestone Payment Schedule</t>
  </si>
  <si>
    <t xml:space="preserve">Milestone</t>
  </si>
  <si>
    <t xml:space="preserve">Wave</t>
  </si>
  <si>
    <t xml:space="preserve">Month</t>
  </si>
  <si>
    <t xml:space="preserve">Trigger</t>
  </si>
  <si>
    <t xml:space="preserve">Payment ($M)</t>
  </si>
  <si>
    <t xml:space="preserve">Cumulative ($M)</t>
  </si>
  <si>
    <t xml:space="preserve">Contract Signing</t>
  </si>
  <si>
    <t xml:space="preserve">Pre</t>
  </si>
  <si>
    <t xml:space="preserve">0</t>
  </si>
  <si>
    <t xml:space="preserve">NDA + SOW executed</t>
  </si>
  <si>
    <t xml:space="preserve">Discovery Complete</t>
  </si>
  <si>
    <t xml:space="preserve">3</t>
  </si>
  <si>
    <t xml:space="preserve">AI readiness report + 100 use case backlog approved</t>
  </si>
  <si>
    <t xml:space="preserve">Quick Win Deployed</t>
  </si>
  <si>
    <t xml:space="preserve">P&amp;W blade quality AI live in production</t>
  </si>
  <si>
    <t xml:space="preserve">Platform Foundation Live</t>
  </si>
  <si>
    <t xml:space="preserve">1</t>
  </si>
  <si>
    <t xml:space="preserve">6</t>
  </si>
  <si>
    <t xml:space="preserve">AION platform on Azure Government operational</t>
  </si>
  <si>
    <t xml:space="preserve">12 Use Cases in Production</t>
  </si>
  <si>
    <t xml:space="preserve">12</t>
  </si>
  <si>
    <t xml:space="preserve">Use case acceptance by business owners</t>
  </si>
  <si>
    <t xml:space="preserve">CoE Operational</t>
  </si>
  <si>
    <t xml:space="preserve">CoE team in place, AI Playbook v1 published</t>
  </si>
  <si>
    <t xml:space="preserve">30 Use Cases Live</t>
  </si>
  <si>
    <t xml:space="preserve">2</t>
  </si>
  <si>
    <t xml:space="preserve">18</t>
  </si>
  <si>
    <t xml:space="preserve">Cross-segment AI operational</t>
  </si>
  <si>
    <t xml:space="preserve">OT/IT Convergence</t>
  </si>
  <si>
    <t xml:space="preserve">24</t>
  </si>
  <si>
    <t xml:space="preserve">250K tags connected, edge AI live</t>
  </si>
  <si>
    <t xml:space="preserve">CoE Transition (60/40)</t>
  </si>
  <si>
    <t xml:space="preserve">RTX leads CoE, 50 certified practitioners</t>
  </si>
  <si>
    <t xml:space="preserve">50 Use Cases + Autonomous</t>
  </si>
  <si>
    <t xml:space="preserve">36</t>
  </si>
  <si>
    <t xml:space="preserve">Tier 3 autonomous operations live</t>
  </si>
  <si>
    <t xml:space="preserve">App Rationalization Target</t>
  </si>
  <si>
    <t xml:space="preserve">120-180 core apps achieved</t>
  </si>
  <si>
    <t xml:space="preserve">IT Budget Target</t>
  </si>
  <si>
    <t xml:space="preserve">Maintenance reduced to 38% of IT budget</t>
  </si>
  <si>
    <t xml:space="preserve">Year 4 Managed Services</t>
  </si>
  <si>
    <t xml:space="preserve">4</t>
  </si>
  <si>
    <t xml:space="preserve">48</t>
  </si>
  <si>
    <t xml:space="preserve">SLA targets met for 12 consecutive months</t>
  </si>
  <si>
    <t xml:space="preserve">Year 5 Managed Services</t>
  </si>
  <si>
    <t xml:space="preserve">60</t>
  </si>
  <si>
    <t xml:space="preserve">Final year SLA + innovation deliverables</t>
  </si>
  <si>
    <t xml:space="preserve">Deal Structure Options: Good / Better / Best</t>
  </si>
  <si>
    <t xml:space="preserve">Element</t>
  </si>
  <si>
    <t xml:space="preserve">Option A: Foundation</t>
  </si>
  <si>
    <t xml:space="preserve">Option B: Transformation (Recommended)</t>
  </si>
  <si>
    <t xml:space="preserve">Option C: Full Enterprise</t>
  </si>
  <si>
    <t xml:space="preserve">Scope</t>
  </si>
  <si>
    <t xml:space="preserve">2 segments, 20 use cases</t>
  </si>
  <si>
    <t xml:space="preserve">All 3 segments, 50+ use cases</t>
  </si>
  <si>
    <t xml:space="preserve">Enterprise-wide + dedicated innovation lab</t>
  </si>
  <si>
    <t xml:space="preserve">Duration</t>
  </si>
  <si>
    <t xml:space="preserve">36 months</t>
  </si>
  <si>
    <t xml:space="preserve">60 months</t>
  </si>
  <si>
    <t xml:space="preserve">60 months + 24-month renewal option</t>
  </si>
  <si>
    <t xml:space="preserve">TCV</t>
  </si>
  <si>
    <t xml:space="preserve">$78M</t>
  </si>
  <si>
    <t xml:space="preserve">$142M</t>
  </si>
  <si>
    <t xml:space="preserve">$195M</t>
  </si>
  <si>
    <t xml:space="preserve">ACV (Avg)</t>
  </si>
  <si>
    <t xml:space="preserve">$26M</t>
  </si>
  <si>
    <t xml:space="preserve">$28.4M</t>
  </si>
  <si>
    <t xml:space="preserve">$32.5M</t>
  </si>
  <si>
    <t xml:space="preserve">Use Cases</t>
  </si>
  <si>
    <t xml:space="preserve">20</t>
  </si>
  <si>
    <t xml:space="preserve">50+</t>
  </si>
  <si>
    <t xml:space="preserve">75+</t>
  </si>
  <si>
    <t xml:space="preserve">CoE Handover</t>
  </si>
  <si>
    <t xml:space="preserve">Month 24</t>
  </si>
  <si>
    <t xml:space="preserve">Month 36</t>
  </si>
  <si>
    <t xml:space="preserve">Month 30 (accelerated)</t>
  </si>
  <si>
    <t xml:space="preserve">5-Year ROI</t>
  </si>
  <si>
    <t xml:space="preserve">4.2x</t>
  </si>
  <si>
    <t xml:space="preserve">20 months</t>
  </si>
  <si>
    <t xml:space="preserve">12 months</t>
  </si>
  <si>
    <t xml:space="preserve">NPV (10%)</t>
  </si>
  <si>
    <t xml:space="preserve">$98M</t>
  </si>
  <si>
    <t xml:space="preserve">$412M</t>
  </si>
  <si>
    <t xml:space="preserve">Not included</t>
  </si>
  <si>
    <t xml:space="preserve">$14.2M (10% of TCV)</t>
  </si>
  <si>
    <t xml:space="preserve">$29.3M (15% of TCV)</t>
  </si>
  <si>
    <t xml:space="preserve">48 months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</si>
</sst>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&quot;($&quot;#,##0.0\);\-"/>
    <numFmt numFmtId="166" formatCode="\$#,##0.0"/>
    <numFmt numFmtId="167" formatCode="0.0%"/>
    <numFmt numFmtId="168" formatCode="\$#,##0.0;&quot;($&quot;#,##0.0\)"/>
    <numFmt numFmtId="169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3366"/>
      <name val="Arial"/>
      <family val="0"/>
      <charset val="1"/>
    </font>
    <font>
      <b val="true"/>
      <sz val="12"/>
      <color rgb="FF0066CC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3366"/>
      <name val="Arial"/>
      <family val="0"/>
      <charset val="1"/>
    </font>
    <font>
      <b val="true"/>
      <sz val="10"/>
      <color rgb="FF003366"/>
      <name val="Arial"/>
      <family val="0"/>
      <charset val="1"/>
    </font>
    <font>
      <b val="true"/>
      <sz val="12"/>
      <color rgb="FF0033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E8F0FE"/>
        <bgColor rgb="FFFFFFFF"/>
      </patternFill>
    </fill>
    <fill>
      <patternFill patternType="solid">
        <fgColor rgb="FFD5E8D4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CC3333"/>
      <rgbColor rgb="FFFFFFCC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6" t="n">
        <v>8.5</v>
      </c>
      <c r="C6" s="6" t="n">
        <v>0</v>
      </c>
      <c r="D6" s="6" t="n">
        <v>0</v>
      </c>
      <c r="E6" s="6" t="n">
        <v>0</v>
      </c>
      <c r="F6" s="6" t="n">
        <v>0</v>
      </c>
      <c r="G6" s="7" t="n">
        <f aca="false">SUM(B6:F6)</f>
        <v>8.5</v>
      </c>
      <c r="H6" s="8" t="n">
        <f aca="false">G6/G12</f>
        <v>0.0598591549295775</v>
      </c>
    </row>
    <row r="7" customFormat="false" ht="15" hidden="false" customHeight="false" outlineLevel="0" collapsed="false">
      <c r="A7" s="5" t="s">
        <v>12</v>
      </c>
      <c r="B7" s="6" t="n">
        <v>14.2</v>
      </c>
      <c r="C7" s="6" t="n">
        <v>14.2</v>
      </c>
      <c r="D7" s="6" t="n">
        <v>0</v>
      </c>
      <c r="E7" s="6" t="n">
        <v>0</v>
      </c>
      <c r="F7" s="6" t="n">
        <v>0</v>
      </c>
      <c r="G7" s="7" t="n">
        <f aca="false">SUM(B7:F7)</f>
        <v>28.4</v>
      </c>
      <c r="H7" s="8" t="n">
        <f aca="false">G7/G12</f>
        <v>0.2</v>
      </c>
    </row>
    <row r="8" customFormat="false" ht="15" hidden="false" customHeight="false" outlineLevel="0" collapsed="false">
      <c r="A8" s="5" t="s">
        <v>13</v>
      </c>
      <c r="B8" s="6" t="n">
        <v>15.6</v>
      </c>
      <c r="C8" s="6" t="n">
        <v>18.8</v>
      </c>
      <c r="D8" s="6" t="n">
        <v>12.5</v>
      </c>
      <c r="E8" s="6" t="n">
        <v>0</v>
      </c>
      <c r="F8" s="6" t="n">
        <v>0</v>
      </c>
      <c r="G8" s="7" t="n">
        <f aca="false">SUM(B8:F8)</f>
        <v>46.9</v>
      </c>
      <c r="H8" s="8" t="n">
        <f aca="false">G8/G12</f>
        <v>0.330281690140845</v>
      </c>
    </row>
    <row r="9" customFormat="false" ht="15" hidden="false" customHeight="false" outlineLevel="0" collapsed="false">
      <c r="A9" s="5" t="s">
        <v>14</v>
      </c>
      <c r="B9" s="6" t="n">
        <v>2.2</v>
      </c>
      <c r="C9" s="6" t="n">
        <v>5</v>
      </c>
      <c r="D9" s="6" t="n">
        <v>5</v>
      </c>
      <c r="E9" s="6" t="n">
        <v>1.7</v>
      </c>
      <c r="F9" s="6" t="n">
        <v>1.7</v>
      </c>
      <c r="G9" s="7" t="n">
        <f aca="false">SUM(B9:F9)</f>
        <v>15.6</v>
      </c>
      <c r="H9" s="8" t="n">
        <f aca="false">G9/G12</f>
        <v>0.109859154929577</v>
      </c>
    </row>
    <row r="10" customFormat="false" ht="15" hidden="false" customHeight="false" outlineLevel="0" collapsed="false">
      <c r="A10" s="5" t="s">
        <v>15</v>
      </c>
      <c r="B10" s="6" t="n">
        <v>0</v>
      </c>
      <c r="C10" s="6" t="n">
        <v>0</v>
      </c>
      <c r="D10" s="6" t="n">
        <v>10.5</v>
      </c>
      <c r="E10" s="6" t="n">
        <v>9.5</v>
      </c>
      <c r="F10" s="6" t="n">
        <v>8.4</v>
      </c>
      <c r="G10" s="7" t="n">
        <f aca="false">SUM(B10:F10)</f>
        <v>28.4</v>
      </c>
      <c r="H10" s="8" t="n">
        <f aca="false">G10/G12</f>
        <v>0.2</v>
      </c>
    </row>
    <row r="11" customFormat="false" ht="15" hidden="false" customHeight="false" outlineLevel="0" collapsed="false">
      <c r="A11" s="5" t="s">
        <v>16</v>
      </c>
      <c r="B11" s="6" t="n">
        <v>0</v>
      </c>
      <c r="C11" s="6" t="n">
        <v>0</v>
      </c>
      <c r="D11" s="6" t="n">
        <v>0</v>
      </c>
      <c r="E11" s="6" t="n">
        <v>6.8</v>
      </c>
      <c r="F11" s="6" t="n">
        <v>7.4</v>
      </c>
      <c r="G11" s="7" t="n">
        <f aca="false">SUM(B11:F11)</f>
        <v>14.2</v>
      </c>
      <c r="H11" s="8" t="n">
        <f aca="false">G11/G12</f>
        <v>0.1</v>
      </c>
    </row>
    <row r="12" customFormat="false" ht="15" hidden="false" customHeight="false" outlineLevel="0" collapsed="false">
      <c r="A12" s="9" t="s">
        <v>17</v>
      </c>
      <c r="B12" s="10" t="n">
        <f aca="false">SUM(B6:B11)</f>
        <v>40.5</v>
      </c>
      <c r="C12" s="10" t="n">
        <f aca="false">SUM(C6:C11)</f>
        <v>38</v>
      </c>
      <c r="D12" s="10" t="n">
        <f aca="false">SUM(D6:D11)</f>
        <v>28</v>
      </c>
      <c r="E12" s="10" t="n">
        <f aca="false">SUM(E6:E11)</f>
        <v>18</v>
      </c>
      <c r="F12" s="10" t="n">
        <f aca="false">SUM(F6:F11)</f>
        <v>17.5</v>
      </c>
      <c r="G12" s="10" t="n">
        <f aca="false">SUM(G6:G11)</f>
        <v>142</v>
      </c>
      <c r="H12" s="11" t="n">
        <f aca="false">SUM(H6:H11)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CC"/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18</v>
      </c>
    </row>
    <row r="3" customFormat="false" ht="15" hidden="false" customHeight="false" outlineLevel="0" collapsed="false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</row>
    <row r="4" customFormat="false" ht="15" hidden="false" customHeight="false" outlineLevel="0" collapsed="false">
      <c r="A4" s="12" t="s">
        <v>26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14" t="s">
        <v>12</v>
      </c>
      <c r="B5" s="6" t="n">
        <v>22.7</v>
      </c>
      <c r="C5" s="6" t="n">
        <v>14.2</v>
      </c>
      <c r="D5" s="6" t="n">
        <v>0</v>
      </c>
      <c r="E5" s="6" t="n">
        <v>0</v>
      </c>
      <c r="F5" s="6" t="n">
        <v>0</v>
      </c>
      <c r="G5" s="7" t="n">
        <f aca="false">SUM(B5:F5)</f>
        <v>36.9</v>
      </c>
    </row>
    <row r="6" customFormat="false" ht="15" hidden="false" customHeight="false" outlineLevel="0" collapsed="false">
      <c r="A6" s="14" t="s">
        <v>27</v>
      </c>
      <c r="B6" s="6" t="n">
        <v>15.6</v>
      </c>
      <c r="C6" s="6" t="n">
        <v>18.8</v>
      </c>
      <c r="D6" s="6" t="n">
        <v>12.5</v>
      </c>
      <c r="E6" s="6" t="n">
        <v>0</v>
      </c>
      <c r="F6" s="6" t="n">
        <v>0</v>
      </c>
      <c r="G6" s="7" t="n">
        <f aca="false">SUM(B6:F6)</f>
        <v>46.9</v>
      </c>
    </row>
    <row r="7" customFormat="false" ht="15" hidden="false" customHeight="false" outlineLevel="0" collapsed="false">
      <c r="A7" s="14" t="s">
        <v>28</v>
      </c>
      <c r="B7" s="6" t="n">
        <v>2.2</v>
      </c>
      <c r="C7" s="6" t="n">
        <v>5</v>
      </c>
      <c r="D7" s="6" t="n">
        <v>5</v>
      </c>
      <c r="E7" s="6" t="n">
        <v>1.7</v>
      </c>
      <c r="F7" s="6" t="n">
        <v>1.7</v>
      </c>
      <c r="G7" s="7" t="n">
        <f aca="false">SUM(B7:F7)</f>
        <v>15.6</v>
      </c>
    </row>
    <row r="8" customFormat="false" ht="15" hidden="false" customHeight="false" outlineLevel="0" collapsed="false">
      <c r="A8" s="14" t="s">
        <v>15</v>
      </c>
      <c r="B8" s="6" t="n">
        <v>0</v>
      </c>
      <c r="C8" s="6" t="n">
        <v>0</v>
      </c>
      <c r="D8" s="6" t="n">
        <v>10.5</v>
      </c>
      <c r="E8" s="6" t="n">
        <v>9.5</v>
      </c>
      <c r="F8" s="6" t="n">
        <v>8.4</v>
      </c>
      <c r="G8" s="7" t="n">
        <f aca="false">SUM(B8:F8)</f>
        <v>28.4</v>
      </c>
    </row>
    <row r="9" customFormat="false" ht="15" hidden="false" customHeight="false" outlineLevel="0" collapsed="false">
      <c r="A9" s="14" t="s">
        <v>16</v>
      </c>
      <c r="B9" s="6" t="n">
        <v>0</v>
      </c>
      <c r="C9" s="6" t="n">
        <v>0</v>
      </c>
      <c r="D9" s="6" t="n">
        <v>0</v>
      </c>
      <c r="E9" s="6" t="n">
        <v>6.8</v>
      </c>
      <c r="F9" s="6" t="n">
        <v>7.4</v>
      </c>
      <c r="G9" s="7" t="n">
        <f aca="false">SUM(B9:F9)</f>
        <v>14.2</v>
      </c>
    </row>
    <row r="10" customFormat="false" ht="15" hidden="false" customHeight="false" outlineLevel="0" collapsed="false">
      <c r="A10" s="5" t="s">
        <v>29</v>
      </c>
      <c r="B10" s="15" t="n">
        <f aca="false">SUM(B5:B9)</f>
        <v>40.5</v>
      </c>
      <c r="C10" s="15" t="n">
        <f aca="false">SUM(C5:C9)</f>
        <v>38</v>
      </c>
      <c r="D10" s="15" t="n">
        <f aca="false">SUM(D5:D9)</f>
        <v>28</v>
      </c>
      <c r="E10" s="15" t="n">
        <f aca="false">SUM(E5:E9)</f>
        <v>18</v>
      </c>
      <c r="F10" s="15" t="n">
        <f aca="false">SUM(F5:F9)</f>
        <v>17.5</v>
      </c>
      <c r="G10" s="15" t="n">
        <f aca="false">SUM(G5:G9)</f>
        <v>142</v>
      </c>
    </row>
    <row r="11" customFormat="false" ht="15" hidden="false" customHeight="false" outlineLevel="0" collapsed="false">
      <c r="A11" s="14"/>
      <c r="B11" s="6"/>
      <c r="C11" s="6"/>
      <c r="D11" s="6"/>
      <c r="E11" s="6"/>
      <c r="F11" s="6"/>
      <c r="G11" s="7" t="n">
        <f aca="false">SUM(B11:F11)</f>
        <v>0</v>
      </c>
    </row>
    <row r="12" customFormat="false" ht="15" hidden="false" customHeight="false" outlineLevel="0" collapsed="false">
      <c r="A12" s="12" t="s">
        <v>30</v>
      </c>
      <c r="B12" s="13"/>
      <c r="C12" s="13"/>
      <c r="D12" s="13"/>
      <c r="E12" s="13"/>
      <c r="F12" s="13"/>
      <c r="G12" s="13"/>
    </row>
    <row r="13" customFormat="false" ht="15" hidden="false" customHeight="false" outlineLevel="0" collapsed="false">
      <c r="A13" s="14" t="s">
        <v>31</v>
      </c>
      <c r="B13" s="6" t="n">
        <v>18</v>
      </c>
      <c r="C13" s="6" t="n">
        <v>35</v>
      </c>
      <c r="D13" s="6" t="n">
        <v>45</v>
      </c>
      <c r="E13" s="6" t="n">
        <v>42</v>
      </c>
      <c r="F13" s="6" t="n">
        <v>45</v>
      </c>
      <c r="G13" s="7" t="n">
        <f aca="false">SUM(B13:F13)</f>
        <v>185</v>
      </c>
    </row>
    <row r="14" customFormat="false" ht="15" hidden="false" customHeight="false" outlineLevel="0" collapsed="false">
      <c r="A14" s="14" t="s">
        <v>32</v>
      </c>
      <c r="B14" s="6" t="n">
        <v>5</v>
      </c>
      <c r="C14" s="6" t="n">
        <v>22</v>
      </c>
      <c r="D14" s="6" t="n">
        <v>32</v>
      </c>
      <c r="E14" s="6" t="n">
        <v>33</v>
      </c>
      <c r="F14" s="6" t="n">
        <v>33</v>
      </c>
      <c r="G14" s="7" t="n">
        <f aca="false">SUM(B14:F14)</f>
        <v>125</v>
      </c>
    </row>
    <row r="15" customFormat="false" ht="15" hidden="false" customHeight="false" outlineLevel="0" collapsed="false">
      <c r="A15" s="14" t="s">
        <v>33</v>
      </c>
      <c r="B15" s="6" t="n">
        <v>12</v>
      </c>
      <c r="C15" s="6" t="n">
        <v>8</v>
      </c>
      <c r="D15" s="6" t="n">
        <v>28</v>
      </c>
      <c r="E15" s="6" t="n">
        <v>22</v>
      </c>
      <c r="F15" s="6" t="n">
        <v>22</v>
      </c>
      <c r="G15" s="7" t="n">
        <f aca="false">SUM(B15:F15)</f>
        <v>92</v>
      </c>
    </row>
    <row r="16" customFormat="false" ht="15" hidden="false" customHeight="false" outlineLevel="0" collapsed="false">
      <c r="A16" s="14" t="s">
        <v>34</v>
      </c>
      <c r="B16" s="6" t="n">
        <v>5</v>
      </c>
      <c r="C16" s="6" t="n">
        <v>5</v>
      </c>
      <c r="D16" s="6" t="n">
        <v>15</v>
      </c>
      <c r="E16" s="6" t="n">
        <v>15</v>
      </c>
      <c r="F16" s="6" t="n">
        <v>15</v>
      </c>
      <c r="G16" s="7" t="n">
        <f aca="false">SUM(B16:F16)</f>
        <v>55</v>
      </c>
    </row>
    <row r="17" customFormat="false" ht="15" hidden="false" customHeight="false" outlineLevel="0" collapsed="false">
      <c r="A17" s="14" t="s">
        <v>35</v>
      </c>
      <c r="B17" s="6" t="n">
        <v>5</v>
      </c>
      <c r="C17" s="6" t="n">
        <v>5</v>
      </c>
      <c r="D17" s="6" t="n">
        <v>10</v>
      </c>
      <c r="E17" s="6" t="n">
        <v>6</v>
      </c>
      <c r="F17" s="6" t="n">
        <v>4</v>
      </c>
      <c r="G17" s="7" t="n">
        <f aca="false">SUM(B17:F17)</f>
        <v>30</v>
      </c>
    </row>
    <row r="18" customFormat="false" ht="15" hidden="false" customHeight="false" outlineLevel="0" collapsed="false">
      <c r="A18" s="5" t="s">
        <v>36</v>
      </c>
      <c r="B18" s="15" t="n">
        <f aca="false">SUM(B13:B17)</f>
        <v>45</v>
      </c>
      <c r="C18" s="15" t="n">
        <f aca="false">SUM(C13:C17)</f>
        <v>75</v>
      </c>
      <c r="D18" s="15" t="n">
        <f aca="false">SUM(D13:D17)</f>
        <v>130</v>
      </c>
      <c r="E18" s="15" t="n">
        <f aca="false">SUM(E13:E17)</f>
        <v>118</v>
      </c>
      <c r="F18" s="15" t="n">
        <f aca="false">SUM(F13:F17)</f>
        <v>119</v>
      </c>
      <c r="G18" s="15" t="n">
        <f aca="false">SUM(G13:G17)</f>
        <v>487</v>
      </c>
    </row>
    <row r="19" customFormat="false" ht="15" hidden="false" customHeight="false" outlineLevel="0" collapsed="false">
      <c r="A19" s="14"/>
      <c r="B19" s="6"/>
      <c r="C19" s="6"/>
      <c r="D19" s="6"/>
      <c r="E19" s="6"/>
      <c r="F19" s="6"/>
      <c r="G19" s="7" t="n">
        <f aca="false">SUM(B19:F19)</f>
        <v>0</v>
      </c>
    </row>
    <row r="20" customFormat="false" ht="15" hidden="false" customHeight="false" outlineLevel="0" collapsed="false">
      <c r="A20" s="5" t="s">
        <v>37</v>
      </c>
      <c r="B20" s="16" t="n">
        <f aca="false">B18-B10</f>
        <v>4.5</v>
      </c>
      <c r="C20" s="16" t="n">
        <f aca="false">C18-C10</f>
        <v>37</v>
      </c>
      <c r="D20" s="16" t="n">
        <f aca="false">D18-D10</f>
        <v>102</v>
      </c>
      <c r="E20" s="16" t="n">
        <f aca="false">E18-E10</f>
        <v>100</v>
      </c>
      <c r="F20" s="16" t="n">
        <f aca="false">F18-F10</f>
        <v>101.5</v>
      </c>
      <c r="G20" s="16" t="n">
        <f aca="false">G18-G10</f>
        <v>345</v>
      </c>
    </row>
    <row r="21" customFormat="false" ht="15" hidden="false" customHeight="false" outlineLevel="0" collapsed="false">
      <c r="A21" s="5" t="s">
        <v>38</v>
      </c>
      <c r="B21" s="17" t="n">
        <f aca="false">B20</f>
        <v>4.5</v>
      </c>
      <c r="C21" s="17" t="n">
        <f aca="false">B21+C20</f>
        <v>41.5</v>
      </c>
      <c r="D21" s="17" t="n">
        <f aca="false">C21+D20</f>
        <v>143.5</v>
      </c>
      <c r="E21" s="17" t="n">
        <f aca="false">D21+E20</f>
        <v>243.5</v>
      </c>
      <c r="F21" s="17" t="n">
        <f aca="false">E21+F20</f>
        <v>345</v>
      </c>
      <c r="G21" s="17" t="n">
        <f aca="false">F21</f>
        <v>345</v>
      </c>
    </row>
    <row r="22" customFormat="false" ht="15" hidden="false" customHeight="false" outlineLevel="0" collapsed="false">
      <c r="A22" s="5" t="s">
        <v>39</v>
      </c>
      <c r="B22" s="18" t="n">
        <f aca="false">IF(B10=0,0,B18/B10)</f>
        <v>1.11111111111111</v>
      </c>
      <c r="C22" s="18" t="n">
        <f aca="false">IF(C10=0,0,C18/C10)</f>
        <v>1.97368421052632</v>
      </c>
      <c r="D22" s="18" t="n">
        <f aca="false">IF(D10=0,0,D18/D10)</f>
        <v>4.64285714285714</v>
      </c>
      <c r="E22" s="18" t="n">
        <f aca="false">IF(E10=0,0,E18/E10)</f>
        <v>6.55555555555556</v>
      </c>
      <c r="F22" s="18" t="n">
        <f aca="false">IF(F10=0,0,F18/F10)</f>
        <v>6.8</v>
      </c>
      <c r="G22" s="19" t="n">
        <f aca="false">G18/G10</f>
        <v>3.42957746478873</v>
      </c>
    </row>
    <row r="24" customFormat="false" ht="15" hidden="false" customHeight="false" outlineLevel="0" collapsed="false">
      <c r="A24" s="2" t="s">
        <v>40</v>
      </c>
    </row>
    <row r="25" customFormat="false" ht="15" hidden="false" customHeight="false" outlineLevel="0" collapsed="false">
      <c r="A25" s="20" t="s">
        <v>41</v>
      </c>
      <c r="B25" s="21" t="s">
        <v>42</v>
      </c>
    </row>
    <row r="26" customFormat="false" ht="15" hidden="false" customHeight="false" outlineLevel="0" collapsed="false">
      <c r="A26" s="20" t="s">
        <v>43</v>
      </c>
      <c r="B26" s="21" t="s">
        <v>44</v>
      </c>
    </row>
    <row r="27" customFormat="false" ht="15" hidden="false" customHeight="false" outlineLevel="0" collapsed="false">
      <c r="A27" s="20" t="s">
        <v>45</v>
      </c>
      <c r="B27" s="21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9966"/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17.35" hidden="false" customHeight="false" outlineLevel="0" collapsed="false">
      <c r="A1" s="1" t="s">
        <v>47</v>
      </c>
    </row>
    <row r="3" customFormat="false" ht="15" hidden="false" customHeight="false" outlineLevel="0" collapsed="false">
      <c r="A3" s="4" t="s">
        <v>48</v>
      </c>
      <c r="B3" s="4" t="s">
        <v>49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50</v>
      </c>
      <c r="I3" s="4" t="s">
        <v>51</v>
      </c>
    </row>
    <row r="4" customFormat="false" ht="15" hidden="false" customHeight="false" outlineLevel="0" collapsed="false">
      <c r="A4" s="5" t="s">
        <v>52</v>
      </c>
      <c r="B4" s="22" t="s">
        <v>53</v>
      </c>
      <c r="C4" s="23" t="n">
        <v>27</v>
      </c>
      <c r="D4" s="23" t="n">
        <v>45</v>
      </c>
      <c r="E4" s="23" t="n">
        <v>78</v>
      </c>
      <c r="F4" s="23" t="n">
        <v>70.8</v>
      </c>
      <c r="G4" s="23" t="n">
        <v>71.4</v>
      </c>
      <c r="H4" s="23" t="n">
        <v>292.2</v>
      </c>
      <c r="I4" s="22" t="s">
        <v>54</v>
      </c>
    </row>
    <row r="5" customFormat="false" ht="15" hidden="false" customHeight="false" outlineLevel="0" collapsed="false">
      <c r="A5" s="12" t="s">
        <v>55</v>
      </c>
      <c r="B5" s="24" t="s">
        <v>56</v>
      </c>
      <c r="C5" s="25" t="n">
        <v>45</v>
      </c>
      <c r="D5" s="25" t="n">
        <v>75</v>
      </c>
      <c r="E5" s="25" t="n">
        <v>130</v>
      </c>
      <c r="F5" s="25" t="n">
        <v>118</v>
      </c>
      <c r="G5" s="25" t="n">
        <v>119</v>
      </c>
      <c r="H5" s="25" t="n">
        <v>487</v>
      </c>
      <c r="I5" s="24" t="s">
        <v>57</v>
      </c>
    </row>
    <row r="6" customFormat="false" ht="15" hidden="false" customHeight="false" outlineLevel="0" collapsed="false">
      <c r="A6" s="5" t="s">
        <v>58</v>
      </c>
      <c r="B6" s="22" t="s">
        <v>59</v>
      </c>
      <c r="C6" s="23" t="n">
        <v>63</v>
      </c>
      <c r="D6" s="23" t="n">
        <v>105</v>
      </c>
      <c r="E6" s="23" t="n">
        <v>182</v>
      </c>
      <c r="F6" s="23" t="n">
        <v>165.2</v>
      </c>
      <c r="G6" s="23" t="n">
        <v>166.6</v>
      </c>
      <c r="H6" s="23" t="n">
        <v>681.8</v>
      </c>
      <c r="I6" s="2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8"/>
    <col collapsed="false" customWidth="true" hidden="false" outlineLevel="0" max="4" min="4" style="0" width="48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61</v>
      </c>
    </row>
    <row r="3" customFormat="false" ht="26.85" hidden="false" customHeight="false" outlineLevel="0" collapsed="false">
      <c r="A3" s="4" t="s">
        <v>62</v>
      </c>
      <c r="B3" s="4" t="s">
        <v>63</v>
      </c>
      <c r="C3" s="4" t="s">
        <v>64</v>
      </c>
      <c r="D3" s="4" t="s">
        <v>65</v>
      </c>
      <c r="E3" s="4" t="s">
        <v>66</v>
      </c>
      <c r="F3" s="4" t="s">
        <v>67</v>
      </c>
    </row>
    <row r="4" customFormat="false" ht="15" hidden="false" customHeight="false" outlineLevel="0" collapsed="false">
      <c r="A4" s="14" t="s">
        <v>68</v>
      </c>
      <c r="B4" s="14" t="s">
        <v>69</v>
      </c>
      <c r="C4" s="14" t="s">
        <v>70</v>
      </c>
      <c r="D4" s="14" t="s">
        <v>71</v>
      </c>
      <c r="E4" s="23" t="n">
        <v>14.2</v>
      </c>
      <c r="F4" s="7" t="n">
        <f aca="false">E4</f>
        <v>14.2</v>
      </c>
    </row>
    <row r="5" customFormat="false" ht="15" hidden="false" customHeight="false" outlineLevel="0" collapsed="false">
      <c r="A5" s="14" t="s">
        <v>72</v>
      </c>
      <c r="B5" s="14" t="s">
        <v>70</v>
      </c>
      <c r="C5" s="14" t="s">
        <v>73</v>
      </c>
      <c r="D5" s="14" t="s">
        <v>74</v>
      </c>
      <c r="E5" s="23" t="n">
        <v>8.5</v>
      </c>
      <c r="F5" s="7" t="n">
        <f aca="false">F4+E5</f>
        <v>22.7</v>
      </c>
    </row>
    <row r="6" customFormat="false" ht="15" hidden="false" customHeight="false" outlineLevel="0" collapsed="false">
      <c r="A6" s="14" t="s">
        <v>75</v>
      </c>
      <c r="B6" s="14" t="s">
        <v>70</v>
      </c>
      <c r="C6" s="14" t="s">
        <v>73</v>
      </c>
      <c r="D6" s="14" t="s">
        <v>76</v>
      </c>
      <c r="E6" s="23" t="n">
        <v>0</v>
      </c>
      <c r="F6" s="7" t="n">
        <f aca="false">F5+E6</f>
        <v>22.7</v>
      </c>
    </row>
    <row r="7" customFormat="false" ht="15" hidden="false" customHeight="false" outlineLevel="0" collapsed="false">
      <c r="A7" s="14" t="s">
        <v>77</v>
      </c>
      <c r="B7" s="14" t="s">
        <v>78</v>
      </c>
      <c r="C7" s="14" t="s">
        <v>79</v>
      </c>
      <c r="D7" s="14" t="s">
        <v>80</v>
      </c>
      <c r="E7" s="23" t="n">
        <v>12</v>
      </c>
      <c r="F7" s="7" t="n">
        <f aca="false">F6+E7</f>
        <v>34.7</v>
      </c>
    </row>
    <row r="8" customFormat="false" ht="15" hidden="false" customHeight="false" outlineLevel="0" collapsed="false">
      <c r="A8" s="14" t="s">
        <v>81</v>
      </c>
      <c r="B8" s="14" t="s">
        <v>78</v>
      </c>
      <c r="C8" s="14" t="s">
        <v>82</v>
      </c>
      <c r="D8" s="14" t="s">
        <v>83</v>
      </c>
      <c r="E8" s="23" t="n">
        <v>16</v>
      </c>
      <c r="F8" s="7" t="n">
        <f aca="false">F7+E8</f>
        <v>50.7</v>
      </c>
    </row>
    <row r="9" customFormat="false" ht="15" hidden="false" customHeight="false" outlineLevel="0" collapsed="false">
      <c r="A9" s="14" t="s">
        <v>84</v>
      </c>
      <c r="B9" s="14" t="s">
        <v>78</v>
      </c>
      <c r="C9" s="14" t="s">
        <v>82</v>
      </c>
      <c r="D9" s="14" t="s">
        <v>85</v>
      </c>
      <c r="E9" s="23" t="n">
        <v>4.3</v>
      </c>
      <c r="F9" s="7" t="n">
        <f aca="false">F8+E9</f>
        <v>55</v>
      </c>
    </row>
    <row r="10" customFormat="false" ht="15" hidden="false" customHeight="false" outlineLevel="0" collapsed="false">
      <c r="A10" s="14" t="s">
        <v>86</v>
      </c>
      <c r="B10" s="14" t="s">
        <v>87</v>
      </c>
      <c r="C10" s="14" t="s">
        <v>88</v>
      </c>
      <c r="D10" s="14" t="s">
        <v>89</v>
      </c>
      <c r="E10" s="23" t="n">
        <v>19</v>
      </c>
      <c r="F10" s="7" t="n">
        <f aca="false">F9+E10</f>
        <v>74</v>
      </c>
    </row>
    <row r="11" customFormat="false" ht="15" hidden="false" customHeight="false" outlineLevel="0" collapsed="false">
      <c r="A11" s="14" t="s">
        <v>90</v>
      </c>
      <c r="B11" s="14" t="s">
        <v>87</v>
      </c>
      <c r="C11" s="14" t="s">
        <v>91</v>
      </c>
      <c r="D11" s="14" t="s">
        <v>92</v>
      </c>
      <c r="E11" s="23" t="n">
        <v>14</v>
      </c>
      <c r="F11" s="7" t="n">
        <f aca="false">F10+E11</f>
        <v>88</v>
      </c>
    </row>
    <row r="12" customFormat="false" ht="15" hidden="false" customHeight="false" outlineLevel="0" collapsed="false">
      <c r="A12" s="14" t="s">
        <v>93</v>
      </c>
      <c r="B12" s="14" t="s">
        <v>87</v>
      </c>
      <c r="C12" s="14" t="s">
        <v>91</v>
      </c>
      <c r="D12" s="14" t="s">
        <v>94</v>
      </c>
      <c r="E12" s="23" t="n">
        <v>5</v>
      </c>
      <c r="F12" s="7" t="n">
        <f aca="false">F11+E12</f>
        <v>93</v>
      </c>
    </row>
    <row r="13" customFormat="false" ht="15" hidden="false" customHeight="false" outlineLevel="0" collapsed="false">
      <c r="A13" s="14" t="s">
        <v>95</v>
      </c>
      <c r="B13" s="14" t="s">
        <v>73</v>
      </c>
      <c r="C13" s="14" t="s">
        <v>96</v>
      </c>
      <c r="D13" s="14" t="s">
        <v>97</v>
      </c>
      <c r="E13" s="23" t="n">
        <v>14</v>
      </c>
      <c r="F13" s="7" t="n">
        <f aca="false">F12+E13</f>
        <v>107</v>
      </c>
    </row>
    <row r="14" customFormat="false" ht="15" hidden="false" customHeight="false" outlineLevel="0" collapsed="false">
      <c r="A14" s="14" t="s">
        <v>98</v>
      </c>
      <c r="B14" s="14" t="s">
        <v>73</v>
      </c>
      <c r="C14" s="14" t="s">
        <v>96</v>
      </c>
      <c r="D14" s="14" t="s">
        <v>99</v>
      </c>
      <c r="E14" s="23" t="n">
        <v>10</v>
      </c>
      <c r="F14" s="7" t="n">
        <f aca="false">F13+E14</f>
        <v>117</v>
      </c>
    </row>
    <row r="15" customFormat="false" ht="15" hidden="false" customHeight="false" outlineLevel="0" collapsed="false">
      <c r="A15" s="14" t="s">
        <v>100</v>
      </c>
      <c r="B15" s="14" t="s">
        <v>73</v>
      </c>
      <c r="C15" s="14" t="s">
        <v>96</v>
      </c>
      <c r="D15" s="14" t="s">
        <v>101</v>
      </c>
      <c r="E15" s="23" t="n">
        <v>4</v>
      </c>
      <c r="F15" s="7" t="n">
        <f aca="false">F14+E15</f>
        <v>121</v>
      </c>
    </row>
    <row r="16" customFormat="false" ht="15" hidden="false" customHeight="false" outlineLevel="0" collapsed="false">
      <c r="A16" s="14" t="s">
        <v>102</v>
      </c>
      <c r="B16" s="14" t="s">
        <v>103</v>
      </c>
      <c r="C16" s="14" t="s">
        <v>104</v>
      </c>
      <c r="D16" s="14" t="s">
        <v>105</v>
      </c>
      <c r="E16" s="23" t="n">
        <v>10.5</v>
      </c>
      <c r="F16" s="7" t="n">
        <f aca="false">F15+E16</f>
        <v>131.5</v>
      </c>
    </row>
    <row r="17" customFormat="false" ht="15" hidden="false" customHeight="false" outlineLevel="0" collapsed="false">
      <c r="A17" s="14" t="s">
        <v>106</v>
      </c>
      <c r="B17" s="14" t="s">
        <v>103</v>
      </c>
      <c r="C17" s="14" t="s">
        <v>107</v>
      </c>
      <c r="D17" s="14" t="s">
        <v>108</v>
      </c>
      <c r="E17" s="23" t="n">
        <v>10.5</v>
      </c>
      <c r="F17" s="7" t="n">
        <f aca="false">F16+E17</f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3333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32"/>
  </cols>
  <sheetData>
    <row r="1" customFormat="false" ht="17.35" hidden="false" customHeight="false" outlineLevel="0" collapsed="false">
      <c r="A1" s="1" t="s">
        <v>109</v>
      </c>
    </row>
    <row r="3" customFormat="false" ht="26.85" hidden="false" customHeight="false" outlineLevel="0" collapsed="false">
      <c r="A3" s="4" t="s">
        <v>110</v>
      </c>
      <c r="B3" s="4" t="s">
        <v>111</v>
      </c>
      <c r="C3" s="4" t="s">
        <v>112</v>
      </c>
      <c r="D3" s="4" t="s">
        <v>113</v>
      </c>
    </row>
    <row r="4" customFormat="false" ht="15" hidden="false" customHeight="false" outlineLevel="0" collapsed="false">
      <c r="A4" s="5" t="s">
        <v>114</v>
      </c>
      <c r="B4" s="14" t="s">
        <v>115</v>
      </c>
      <c r="C4" s="26" t="s">
        <v>116</v>
      </c>
      <c r="D4" s="14" t="s">
        <v>117</v>
      </c>
    </row>
    <row r="5" customFormat="false" ht="15" hidden="false" customHeight="false" outlineLevel="0" collapsed="false">
      <c r="A5" s="5" t="s">
        <v>118</v>
      </c>
      <c r="B5" s="14" t="s">
        <v>119</v>
      </c>
      <c r="C5" s="26" t="s">
        <v>120</v>
      </c>
      <c r="D5" s="14" t="s">
        <v>121</v>
      </c>
    </row>
    <row r="6" customFormat="false" ht="15" hidden="false" customHeight="false" outlineLevel="0" collapsed="false">
      <c r="A6" s="5" t="s">
        <v>122</v>
      </c>
      <c r="B6" s="14" t="s">
        <v>123</v>
      </c>
      <c r="C6" s="26" t="s">
        <v>124</v>
      </c>
      <c r="D6" s="14" t="s">
        <v>125</v>
      </c>
    </row>
    <row r="7" customFormat="false" ht="15" hidden="false" customHeight="false" outlineLevel="0" collapsed="false">
      <c r="A7" s="5" t="s">
        <v>126</v>
      </c>
      <c r="B7" s="14" t="s">
        <v>127</v>
      </c>
      <c r="C7" s="26" t="s">
        <v>128</v>
      </c>
      <c r="D7" s="14" t="s">
        <v>129</v>
      </c>
    </row>
    <row r="8" customFormat="false" ht="15" hidden="false" customHeight="false" outlineLevel="0" collapsed="false">
      <c r="A8" s="5" t="s">
        <v>130</v>
      </c>
      <c r="B8" s="14" t="s">
        <v>131</v>
      </c>
      <c r="C8" s="26" t="s">
        <v>132</v>
      </c>
      <c r="D8" s="14" t="s">
        <v>133</v>
      </c>
    </row>
    <row r="9" customFormat="false" ht="15" hidden="false" customHeight="false" outlineLevel="0" collapsed="false">
      <c r="A9" s="5" t="s">
        <v>134</v>
      </c>
      <c r="B9" s="14" t="s">
        <v>135</v>
      </c>
      <c r="C9" s="26" t="s">
        <v>136</v>
      </c>
      <c r="D9" s="14" t="s">
        <v>137</v>
      </c>
    </row>
    <row r="10" customFormat="false" ht="15" hidden="false" customHeight="false" outlineLevel="0" collapsed="false">
      <c r="A10" s="5" t="s">
        <v>138</v>
      </c>
      <c r="B10" s="14" t="s">
        <v>54</v>
      </c>
      <c r="C10" s="26" t="s">
        <v>57</v>
      </c>
      <c r="D10" s="14" t="s">
        <v>139</v>
      </c>
    </row>
    <row r="11" customFormat="false" ht="15" hidden="false" customHeight="false" outlineLevel="0" collapsed="false">
      <c r="A11" s="5" t="s">
        <v>41</v>
      </c>
      <c r="B11" s="14" t="s">
        <v>140</v>
      </c>
      <c r="C11" s="26" t="s">
        <v>42</v>
      </c>
      <c r="D11" s="14" t="s">
        <v>141</v>
      </c>
    </row>
    <row r="12" customFormat="false" ht="15" hidden="false" customHeight="false" outlineLevel="0" collapsed="false">
      <c r="A12" s="5" t="s">
        <v>142</v>
      </c>
      <c r="B12" s="14" t="s">
        <v>143</v>
      </c>
      <c r="C12" s="26" t="s">
        <v>44</v>
      </c>
      <c r="D12" s="14" t="s">
        <v>144</v>
      </c>
    </row>
    <row r="13" customFormat="false" ht="15" hidden="false" customHeight="false" outlineLevel="0" collapsed="false">
      <c r="A13" s="5" t="s">
        <v>16</v>
      </c>
      <c r="B13" s="14" t="s">
        <v>145</v>
      </c>
      <c r="C13" s="26" t="s">
        <v>146</v>
      </c>
      <c r="D13" s="14" t="s">
        <v>147</v>
      </c>
    </row>
    <row r="14" customFormat="false" ht="15" hidden="false" customHeight="false" outlineLevel="0" collapsed="false">
      <c r="A14" s="5" t="s">
        <v>15</v>
      </c>
      <c r="B14" s="14" t="s">
        <v>141</v>
      </c>
      <c r="C14" s="26" t="s">
        <v>119</v>
      </c>
      <c r="D14" s="14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124560CF918E44BDF7BB0232EB6F66" ma:contentTypeVersion="7" ma:contentTypeDescription="Create a new document." ma:contentTypeScope="" ma:versionID="1531fe7024b9e561d618fcb81b57caec">
  <xsd:schema xmlns:xsd="http://www.w3.org/2001/XMLSchema" xmlns:xs="http://www.w3.org/2001/XMLSchema" xmlns:p="http://schemas.microsoft.com/office/2006/metadata/properties" xmlns:ns2="97689581-f45a-4fa7-af78-e4afc81d9722" targetNamespace="http://schemas.microsoft.com/office/2006/metadata/properties" ma:root="true" ma:fieldsID="70fb9ddb93e316af5332029622264cb8" ns2:_="">
    <xsd:import namespace="97689581-f45a-4fa7-af78-e4afc81d9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ustomer_x0020_Name"/>
                <xsd:element ref="ns2:Region" minOccurs="0"/>
                <xsd:element ref="ns2:Meeting_x0020_Date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689581-f45a-4fa7-af78-e4afc81d9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ustomer_x0020_Name" ma:index="11" ma:displayName="Customer Name" ma:internalName="Customer_x0020_Name">
      <xsd:simpleType>
        <xsd:restriction base="dms:Text"/>
      </xsd:simpleType>
    </xsd:element>
    <xsd:element name="Region" ma:index="12" nillable="true" ma:displayName="Region" ma:internalName="Region">
      <xsd:simpleType>
        <xsd:restriction base="dms:Text"/>
      </xsd:simpleType>
    </xsd:element>
    <xsd:element name="Meeting_x0020_Date" ma:index="13" ma:displayName="Meeting Date" ma:format="DateTime" ma:internalName="Meeting_x0020_Date">
      <xsd:simpleType>
        <xsd:restriction base="dms:DateTime"/>
      </xsd:simpleType>
    </xsd:element>
    <xsd:element name="Comments" ma:index="14" nillable="true" ma:displayName="Comments" ma:internalName="Comment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eting_x0020_Date xmlns="97689581-f45a-4fa7-af78-e4afc81d9722"/>
    <Comments xmlns="97689581-f45a-4fa7-af78-e4afc81d9722" xsi:nil="true"/>
    <Customer_x0020_Name xmlns="97689581-f45a-4fa7-af78-e4afc81d9722"/>
    <Region xmlns="97689581-f45a-4fa7-af78-e4afc81d9722" xsi:nil="true"/>
  </documentManagement>
</p:properties>
</file>

<file path=customXml/itemProps1.xml><?xml version="1.0" encoding="utf-8"?>
<ds:datastoreItem xmlns:ds="http://schemas.openxmlformats.org/officeDocument/2006/customXml" ds:itemID="{4C2AE60B-5C8D-43D4-9115-26D521639754}"/>
</file>

<file path=customXml/itemProps2.xml><?xml version="1.0" encoding="utf-8"?>
<ds:datastoreItem xmlns:ds="http://schemas.openxmlformats.org/officeDocument/2006/customXml" ds:itemID="{D44CB2AD-F19D-4CF3-A445-40C5C9203071}"/>
</file>

<file path=customXml/itemProps3.xml><?xml version="1.0" encoding="utf-8"?>
<ds:datastoreItem xmlns:ds="http://schemas.openxmlformats.org/officeDocument/2006/customXml" ds:itemID="{901D29E4-DBF9-4232-BC68-0E9A3B73949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2026-03-24T14:33:40Z</dcterms:created>
  <dcterms:modified xsi:type="dcterms:W3CDTF">2026-03-24T14:33:40Z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0x01010006124560CF918E44BDF7BB0232EB6F66</vt:lpwstr>
  </property>
</Properties>
</file>